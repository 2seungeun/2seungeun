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f56cc634d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Method" sheetId="1" r:id="R065d8736aa614280"/>
    <x:sheet xmlns:r="http://schemas.openxmlformats.org/officeDocument/2006/relationships" name="Taxonomy" sheetId="2" r:id="R2450fe03ee614e60"/>
    <x:sheet xmlns:r="http://schemas.openxmlformats.org/officeDocument/2006/relationships" name="Researchers" sheetId="3" r:id="Ra5ff92658d8c4aa8"/>
    <x:sheet xmlns:r="http://schemas.openxmlformats.org/officeDocument/2006/relationships" name="Papers" sheetId="4" r:id="R1838e6bc70874096"/>
    <x:sheet xmlns:r="http://schemas.openxmlformats.org/officeDocument/2006/relationships" name="Dashboard" sheetId="5" r:id="R71a115705acf4163"/>
    <x:sheet xmlns:r="http://schemas.openxmlformats.org/officeDocument/2006/relationships" name="Architecture_Matrix" sheetId="6" r:id="Re92bf41d39134994"/>
    <x:sheet xmlns:r="http://schemas.openxmlformats.org/officeDocument/2006/relationships" name="Impact_Ranking" sheetId="7" r:id="R78f419c53ec1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46B3C"/>
      <x:name val="Carlito"/>
    </x:font>
    <x:font>
      <x:b/>
      <x:sz val="14"/>
      <x:color rgb="FF17324D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8"/>
      <x:color rgb="FFFFFFFF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9A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4" xfId="0" applyNumberFormat="1" applyFont="1" applyFill="1" applyBorder="1" applyAlignment="1">
      <x:alignment horizontal="right"/>
    </x:xf>
    <x:xf numFmtId="0" fontId="5" fillId="7" borderId="5" xfId="0" applyNumberFormat="1" applyFont="1" applyFill="1" applyBorder="1" applyAlignment="1">
      <x:alignment horizontal="right"/>
    </x:xf>
    <x:xf numFmtId="0" fontId="5" fillId="7" borderId="6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0" fontId="6" fillId="6" borderId="0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horizontal="right"/>
    </x:xf>
    <x:xf numFmtId="0" fontId="6" fillId="7" borderId="5" xfId="0" applyNumberFormat="1" applyFont="1" applyFill="1" applyBorder="1" applyAlignment="1">
      <x:alignment horizontal="right"/>
    </x:xf>
    <x:xf numFmtId="0" fontId="6" fillId="7" borderId="6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6" fillId="6" borderId="0" xfId="0" applyNumberFormat="1" applyFont="1" applyFill="1" applyBorder="1" applyAlignment="1">
      <x:alignment horizontal="center" wrapText="1"/>
    </x:xf>
    <x:xf numFmtId="20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46B3C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1bcf195d24364" /><Relationship Type="http://schemas.openxmlformats.org/officeDocument/2006/relationships/theme" Target="/xl/theme/theme1.xml" Id="R3ec924510a034d75" /><Relationship Type="http://schemas.openxmlformats.org/officeDocument/2006/relationships/sharedStrings" Target="/xl/sharedStrings.xml" Id="Rb9644ec349d6435a" /><Relationship Type="http://schemas.openxmlformats.org/officeDocument/2006/relationships/worksheet" Target="/xl/worksheets/sheet1.xml" Id="R065d8736aa614280" /><Relationship Type="http://schemas.openxmlformats.org/officeDocument/2006/relationships/worksheet" Target="/xl/worksheets/sheet2.xml" Id="R2450fe03ee614e60" /><Relationship Type="http://schemas.openxmlformats.org/officeDocument/2006/relationships/worksheet" Target="/xl/worksheets/sheet3.xml" Id="Ra5ff92658d8c4aa8" /><Relationship Type="http://schemas.openxmlformats.org/officeDocument/2006/relationships/worksheet" Target="/xl/worksheets/sheet4.xml" Id="R1838e6bc70874096" /><Relationship Type="http://schemas.openxmlformats.org/officeDocument/2006/relationships/worksheet" Target="/xl/worksheets/sheet5.xml" Id="R71a115705acf4163" /><Relationship Type="http://schemas.openxmlformats.org/officeDocument/2006/relationships/worksheet" Target="/xl/worksheets/sheet6.xml" Id="Re92bf41d39134994" /><Relationship Type="http://schemas.openxmlformats.org/officeDocument/2006/relationships/worksheet" Target="/xl/worksheets/sheet7.xml" Id="R78f419c53ec148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120482da1e4cb0" /><Relationship Type="http://schemas.openxmlformats.org/officeDocument/2006/relationships/chart" Target="/xl/drawings/charts/chart2.xml" Id="R2e2ec02756da46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Researchers by origin architecture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Researchers</c:v>
          </c:tx>
          <c:cat>
            <c:strRef>
              <c:f>'Dashboard'!$D$5:$D$12</c:f>
              <c:strCache>
                <c:ptCount val="0"/>
              </c:strCache>
            </c:strRef>
          </c:cat>
          <c:val>
            <c:numRef>
              <c:f>'Dashboard'!$E$5:$E$12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Transition classification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Researchers</c:v>
          </c:tx>
          <c:cat>
            <c:strRef>
              <c:f>'Dashboard'!$G$5:$G$8</c:f>
              <c:strCache>
                <c:ptCount val="0"/>
              </c:strCache>
            </c:strRef>
          </c:cat>
          <c:val>
            <c:numRef>
              <c:f>'Dashboard'!$H$5:$H$8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20482da1e4cb0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ec02756da46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ersTable" displayName="ResearchersTable" ref="A1:AB58" headerRowCount="1" totalsRowCount="0" totalsRowShown="0">
  <x:tableColumns count="28">
    <x:tableColumn id="1" name="Impact_rank"/>
    <x:tableColumn id="2" name="Researcher_ID"/>
    <x:tableColumn id="3" name="Name"/>
    <x:tableColumn id="4" name="Region_cluster"/>
    <x:tableColumn id="5" name="Evidence_organization"/>
    <x:tableColumn id="6" name="Origin_architecture"/>
    <x:tableColumn id="7" name="Robot_primary_role"/>
    <x:tableColumn id="8" name="Transition_type"/>
    <x:tableColumn id="9" name="G_score_0_3"/>
    <x:tableColumn id="10" name="U_score_0_3"/>
    <x:tableColumn id="11" name="Robotics_score_0_3"/>
    <x:tableColumn id="12" name="Video_important"/>
    <x:tableColumn id="13" name="Robotics_important"/>
    <x:tableColumn id="14" name="Important_both"/>
    <x:tableColumn id="15" name="Key_video_paper"/>
    <x:tableColumn id="16" name="Key_robotics_paper"/>
    <x:tableColumn id="17" name="Evidence_strength"/>
    <x:tableColumn id="18" name="Interpretation_note"/>
    <x:tableColumn id="19" name="Profile_URL"/>
    <x:tableColumn id="20" name="Video_evidence_URL"/>
    <x:tableColumn id="21" name="Robotics_evidence_URL"/>
    <x:tableColumn id="22" name="Representative_video_Paper_ID"/>
    <x:tableColumn id="23" name="Video_citations"/>
    <x:tableColumn id="24" name="Representative_robotics_Paper_ID"/>
    <x:tableColumn id="25" name="Robotics_citations"/>
    <x:tableColumn id="26" name="Bridge_impact_score"/>
    <x:tableColumn id="27" name="Citation_coverage"/>
    <x:tableColumn id="28" name="Citation_as_o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sTable" displayName="PapersTable" ref="A1:T56" headerRowCount="1" totalsRowCount="0" totalsRowShown="0">
  <x:tableColumns count="20">
    <x:tableColumn id="1" name="Bridge_citation_rank"/>
    <x:tableColumn id="2" name="Overall_citation_rank"/>
    <x:tableColumn id="3" name="Paper_ID"/>
    <x:tableColumn id="4" name="Title"/>
    <x:tableColumn id="5" name="Year"/>
    <x:tableColumn id="6" name="Paper_domain"/>
    <x:tableColumn id="7" name="Architecture"/>
    <x:tableColumn id="8" name="Output_space"/>
    <x:tableColumn id="9" name="Robot_role"/>
    <x:tableColumn id="10" name="Impact_tier"/>
    <x:tableColumn id="11" name="Bridge_flag"/>
    <x:tableColumn id="12" name="Region_cluster"/>
    <x:tableColumn id="13" name="Key_authors"/>
    <x:tableColumn id="14" name="Source_URL"/>
    <x:tableColumn id="15" name="Why_it_matters"/>
    <x:tableColumn id="16" name="Citation_count_observed"/>
    <x:tableColumn id="17" name="Citations_per_year"/>
    <x:tableColumn id="18" name="Citation_basis"/>
    <x:tableColumn id="19" name="Citation_source_URL"/>
    <x:tableColumn id="20" name="Citation_as_of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78df3d9322548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ff05ce629ed4a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64bf6312bfa4e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58" t="str">
        <x:v>Video → Robotics Researcher Migration Pilot</x:v>
      </x:c>
      <x:c r="B1" s="58"/>
      <x:c r="C1" s="58"/>
      <x:c r="D1" s="58"/>
      <x:c r="E1" s="58"/>
      <x:c r="F1" s="58"/>
      <x:c r="G1" s="58"/>
      <x:c r="H1" s="58"/>
    </x:row>
    <x:row r="2" ht="34" customHeight="1">
      <x:c r="A2" s="58"/>
      <x:c r="B2" s="58"/>
      <x:c r="C2" s="58"/>
      <x:c r="D2" s="58"/>
      <x:c r="E2" s="58"/>
      <x:c r="F2" s="58"/>
      <x:c r="G2" s="58"/>
      <x:c r="H2" s="58"/>
    </x:row>
    <x:row r="3" ht="24" customHeight="1">
      <x:c r="A3" s="42"/>
      <x:c r="B3" s="42"/>
      <x:c r="C3" s="42"/>
      <x:c r="D3" s="42"/>
      <x:c r="E3" s="42"/>
      <x:c r="F3" s="42"/>
      <x:c r="G3" s="42"/>
      <x:c r="H3" s="42"/>
    </x:row>
    <x:row r="4" ht="24" customHeight="1">
      <x:c r="A4" s="43" t="str">
        <x:v>Item</x:v>
      </x:c>
      <x:c r="B4" s="44" t="str">
        <x:v>Definition</x:v>
      </x:c>
      <x:c r="C4" s="42"/>
      <x:c r="D4" s="42"/>
      <x:c r="E4" s="42"/>
      <x:c r="F4" s="42"/>
      <x:c r="G4" s="42"/>
      <x:c r="H4" s="42"/>
    </x:row>
    <x:row r="5" ht="24" customHeight="1">
      <x:c r="A5" s="45" t="str">
        <x:v>Purpose</x:v>
      </x:c>
      <x:c r="B5" s="42" t="str">
        <x:v>Reproducible person-, paper-, and architecture-level pilot of the video-to-robotics research bridge</x:v>
      </x:c>
      <x:c r="C5" s="42"/>
      <x:c r="D5" s="42"/>
      <x:c r="E5" s="42"/>
      <x:c r="F5" s="42"/>
      <x:c r="G5" s="42"/>
      <x:c r="H5" s="42"/>
    </x:row>
    <x:row r="6" ht="24" customHeight="1">
      <x:c r="A6" s="67" t="str">
        <x:v>As of</x:v>
      </x:c>
      <x:c r="B6" s="47" t="str">
        <x:v>2026-09-02 citation snapshot; all 55 paper rows rechecked on the same date</x:v>
      </x:c>
      <x:c r="C6" s="42"/>
      <x:c r="D6" s="42"/>
      <x:c r="E6" s="42"/>
      <x:c r="F6" s="42"/>
      <x:c r="G6" s="42"/>
      <x:c r="H6" s="42"/>
    </x:row>
    <x:row r="7" ht="24" customHeight="1">
      <x:c r="A7" s="67" t="str">
        <x:v>Sample</x:v>
      </x:c>
      <x:c r="B7" s="47" t="str">
        <x:v>Purposive pilot: 57 researchers and 55 papers in separate, non-1:1 tables; 31 direct bridge papers, 17 adjacent/context papers, and 7 non-bridge references</x:v>
      </x:c>
      <x:c r="C7" s="42"/>
      <x:c r="D7" s="42"/>
      <x:c r="E7" s="42"/>
      <x:c r="F7" s="42"/>
      <x:c r="G7" s="42"/>
      <x:c r="H7" s="42"/>
    </x:row>
    <x:row r="8" ht="24" customHeight="1">
      <x:c r="A8" s="67" t="str">
        <x:v>Paper ordering</x:v>
      </x:c>
      <x:c r="B8" s="47" t="str">
        <x:v>Direct bridge papers first by citations, then adjacent/context papers by citations; interactive game world models are adjacent, not counted as robot evidence</x:v>
      </x:c>
      <x:c r="C8" s="42"/>
      <x:c r="D8" s="42"/>
      <x:c r="E8" s="42"/>
      <x:c r="F8" s="42"/>
      <x:c r="G8" s="42"/>
      <x:c r="H8" s="42"/>
    </x:row>
    <x:row r="9" ht="24" customHeight="1">
      <x:c r="A9" s="67" t="str">
        <x:v>Person class</x:v>
      </x:c>
      <x:c r="B9" s="47" t="str">
        <x:v>Switcher 2 / Bridger 42 / Native hybrid 11 / Robotics-first 2 = 57</x:v>
      </x:c>
      <x:c r="C9" s="42"/>
      <x:c r="D9" s="42"/>
      <x:c r="E9" s="42"/>
      <x:c r="F9" s="42"/>
      <x:c r="G9" s="42"/>
      <x:c r="H9" s="42"/>
    </x:row>
    <x:row r="10" ht="24" customHeight="1">
      <x:c r="A10" s="67" t="str">
        <x:v>Video axis</x:v>
      </x:c>
      <x:c r="B10" s="47" t="str">
        <x:v>G1-G3 are separated by output: G2 may take actions as conditions but outputs future video/state; G3 outputs video/future state and actions jointly; A outputs actions only</x:v>
      </x:c>
      <x:c r="C10" s="42"/>
      <x:c r="D10" s="42"/>
      <x:c r="E10" s="42"/>
      <x:c r="F10" s="42"/>
      <x:c r="G10" s="42"/>
      <x:c r="H10" s="42"/>
    </x:row>
    <x:row r="11" ht="24" customHeight="1">
      <x:c r="A11" s="67" t="str">
        <x:v>Robot axis</x:v>
      </x:c>
      <x:c r="B11" s="47" t="str">
        <x:v>Perception / Reward-Affordance / Data generation / World simulation / Planning / Direct policy</x:v>
      </x:c>
      <x:c r="C11" s="42"/>
      <x:c r="D11" s="42"/>
      <x:c r="E11" s="42"/>
      <x:c r="F11" s="42"/>
      <x:c r="G11" s="42"/>
      <x:c r="H11" s="42"/>
    </x:row>
    <x:row r="12" ht="24" customHeight="1">
      <x:c r="A12" s="67" t="str">
        <x:v>Importance flags</x:v>
      </x:c>
      <x:c r="B12" s="47" t="str">
        <x:v>Video_Important and Robotics_Important are scored separately; Important_both is formula-derived</x:v>
      </x:c>
      <x:c r="C12" s="42"/>
      <x:c r="D12" s="42"/>
      <x:c r="E12" s="42"/>
      <x:c r="F12" s="42"/>
      <x:c r="G12" s="42"/>
      <x:c r="H12" s="42"/>
    </x:row>
    <x:row r="13" ht="24" customHeight="1">
      <x:c r="A13" s="67" t="str">
        <x:v>Citation basis</x:v>
      </x:c>
      <x:c r="B13" s="47" t="str">
        <x:v>Observed scholarly-web-index counts rechecked on 2026-09-02; title and paper identity were matched, and version-split decreases were not substituted</x:v>
      </x:c>
      <x:c r="C13" s="42"/>
      <x:c r="D13" s="42"/>
      <x:c r="E13" s="42"/>
      <x:c r="F13" s="42"/>
      <x:c r="G13" s="42"/>
      <x:c r="H13" s="42"/>
    </x:row>
    <x:row r="14" ht="24" customHeight="1">
      <x:c r="A14" s="67" t="str">
        <x:v>Researcher ordering</x:v>
      </x:c>
      <x:c r="B14" s="47" t="str">
        <x:v>Important_both researchers are ranked within the selected intersection by geometric mean of representative video/robotics citations; Medium evidence x0.8; partial coverage is excluded</x:v>
      </x:c>
      <x:c r="C14" s="42"/>
      <x:c r="D14" s="42"/>
      <x:c r="E14" s="42"/>
      <x:c r="F14" s="42"/>
      <x:c r="G14" s="42"/>
      <x:c r="H14" s="42"/>
    </x:row>
    <x:row r="15" ht="24" customHeight="1">
      <x:c r="A15" s="67" t="str">
        <x:v>Limit</x:v>
      </x:c>
      <x:c r="B15" s="47" t="str">
        <x:v>Selection-aware bridge ranking, not a field-wide or career-impact ranking. High = direct authorship/project evidence on both sides; Medium = one link is team-level, recent, indirect, or not fully authorship-verified</x:v>
      </x:c>
      <x:c r="C15" s="42"/>
      <x:c r="D15" s="42"/>
      <x:c r="E15" s="42"/>
      <x:c r="F15" s="42"/>
      <x:c r="G15" s="42"/>
      <x:c r="H15" s="42"/>
    </x:row>
    <x:row r="16" ht="40.5" customHeight="1">
      <x:c r="A16" s="47" t="str">
        <x:v>Citation coverage</x:v>
      </x:c>
      <x:c r="B16" s="47" t="str">
        <x:v>Both covered = both representative paper IDs exist in Papers and both citation counts are present. Partial = any ID/link/count is missing; Bridge Impact is N/A and excluded from rank</x:v>
      </x:c>
      <x:c r="C16" s="42"/>
      <x:c r="D16" s="42"/>
      <x:c r="E16" s="42"/>
      <x:c r="F16" s="42"/>
      <x:c r="G16" s="42"/>
      <x:c r="H16" s="42"/>
    </x:row>
    <x:row r="17" ht="24" customHeight="1">
      <x:c r="A17" s="46" t="str">
        <x:v>Recommended statistical interpretation</x:v>
      </x:c>
      <x:c r="B17" s="46"/>
      <x:c r="C17" s="46"/>
      <x:c r="D17" s="46"/>
      <x:c r="E17" s="46"/>
      <x:c r="F17" s="46"/>
      <x:c r="G17" s="46"/>
      <x:c r="H17" s="46"/>
    </x:row>
    <x:row r="18" ht="24" customHeight="1">
      <x:c r="A18" s="47" t="str">
        <x:v>1</x:v>
      </x:c>
      <x:c r="B18" s="47" t="str">
        <x:v>Use the origin architecture × robot role matrix, not a celebrity-name count.</x:v>
      </x:c>
      <x:c r="C18" s="47"/>
      <x:c r="D18" s="47"/>
      <x:c r="E18" s="47"/>
      <x:c r="F18" s="47"/>
      <x:c r="G18" s="47"/>
      <x:c r="H18" s="47"/>
    </x:row>
    <x:row r="19" ht="24" customHeight="1">
      <x:c r="A19" s="47" t="str">
        <x:v>2</x:v>
      </x:c>
      <x:c r="B19" s="47" t="str">
        <x:v>Treat any aggregate combining generation (G) and understanding (U) as secondary only.</x:v>
      </x:c>
      <x:c r="C19" s="47"/>
      <x:c r="D19" s="47"/>
      <x:c r="E19" s="47"/>
      <x:c r="F19" s="47"/>
      <x:c r="G19" s="47"/>
      <x:c r="H19" s="47"/>
    </x:row>
    <x:row r="20" ht="24" customHeight="1">
      <x:c r="A20" s="47" t="str">
        <x:v>3</x:v>
      </x:c>
      <x:c r="B20" s="47" t="str">
        <x:v>Report Switcher, Bridger, Native hybrid, and Robotics-first separately to avoid under- or over-stating migration.</x:v>
      </x:c>
      <x:c r="C20" s="47"/>
      <x:c r="D20" s="47"/>
      <x:c r="E20" s="47"/>
      <x:c r="F20" s="47"/>
      <x:c r="G20" s="47"/>
      <x:c r="H20" s="47"/>
    </x:row>
    <x:row r="21" ht="24" customHeight="1">
      <x:c r="A21" s="47" t="str">
        <x:v>4</x:v>
      </x:c>
      <x:c r="B21" s="47" t="str">
        <x:v>Europe is a research-cluster/paper-affiliation lens, not nationality.</x:v>
      </x:c>
      <x:c r="C21" s="47"/>
      <x:c r="D21" s="47"/>
      <x:c r="E21" s="47"/>
      <x:c r="F21" s="47"/>
      <x:c r="G21" s="47"/>
      <x:c r="H21" s="47"/>
    </x:row>
    <x:row r="22" ht="24" customHeight="1">
      <x:c r="A22" s="47" t="str">
        <x:v>5</x:v>
      </x:c>
      <x:c r="B22" s="47" t="str">
        <x:v>Filter Impact_Tier together with Evidence_Strength for sensitivity analysis.</x:v>
      </x:c>
      <x:c r="C22" s="47"/>
      <x:c r="D22" s="47"/>
      <x:c r="E22" s="47"/>
      <x:c r="F22" s="47"/>
      <x:c r="G22" s="47"/>
      <x:c r="H22" s="47"/>
    </x:row>
    <x:row r="23" ht="24" customHeight="1">
      <x:c r="A23" s="47" t="str">
        <x:v>6</x:v>
      </x:c>
      <x:c r="B23" s="47" t="str">
        <x:v>For expansion, use an author–paper graph and retain these manual labels as a validation set.</x:v>
      </x:c>
      <x:c r="C23" s="47"/>
      <x:c r="D23" s="47"/>
      <x:c r="E23" s="47"/>
      <x:c r="F23" s="47"/>
      <x:c r="G23" s="47"/>
      <x:c r="H23" s="47"/>
    </x:row>
  </x:sheetData>
  <x:mergeCells>
    <x:mergeCell ref="A1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58" t="str">
        <x:v>Architecture &amp; Transition Taxonomy</x:v>
      </x:c>
      <x:c r="B1" s="58"/>
      <x:c r="C1" s="58"/>
      <x:c r="D1" s="58"/>
      <x:c r="E1" s="58"/>
      <x:c r="F1" s="58"/>
    </x:row>
    <x:row r="2">
      <x:c r="A2" s="58"/>
      <x:c r="B2" s="58"/>
      <x:c r="C2" s="58"/>
      <x:c r="D2" s="58"/>
      <x:c r="E2" s="58"/>
      <x:c r="F2" s="58"/>
    </x:row>
    <x:row r="3">
      <x:c r="A3" s="42"/>
      <x:c r="B3" s="42"/>
      <x:c r="C3" s="42"/>
      <x:c r="D3" s="42"/>
      <x:c r="E3" s="42"/>
      <x:c r="F3" s="42"/>
    </x:row>
    <x:row r="4" ht="15" hidden="0" customHeight="1">
      <x:c r="A4" s="43" t="str">
        <x:v>Code</x:v>
      </x:c>
      <x:c r="B4" s="48" t="str">
        <x:v>Axis</x:v>
      </x:c>
      <x:c r="C4" s="48" t="str">
        <x:v>Model output / objective</x:v>
      </x:c>
      <x:c r="D4" s="48" t="str">
        <x:v>Representative examples</x:v>
      </x:c>
      <x:c r="E4" s="48" t="str">
        <x:v>Robotics transfer</x:v>
      </x:c>
      <x:c r="F4" s="44" t="str">
        <x:v>Caution</x:v>
      </x:c>
    </x:row>
    <x:row r="5" ht="26.399999618530273" hidden="0" customHeight="1">
      <x:c r="A5" s="47" t="str">
        <x:v>G1</x:v>
      </x:c>
      <x:c r="B5" s="47" t="str">
        <x:v>Generation</x:v>
      </x:c>
      <x:c r="C5" s="47" t="str">
        <x:v>Passive-conditioned RGB or video-token generation</x:v>
      </x:c>
      <x:c r="D5" s="47" t="str">
        <x:v>WALT, VideoPoet</x:v>
      </x:c>
      <x:c r="E5" s="47" t="str">
        <x:v>visual plan, synthetic data, subgoal</x:v>
      </x:c>
      <x:c r="F5" s="47" t="str">
        <x:v>May have no robot-action conditioning</x:v>
      </x:c>
    </x:row>
    <x:row r="6" ht="46.5" hidden="0" customHeight="1">
      <x:c r="A6" s="47" t="str">
        <x:v>G2</x:v>
      </x:c>
      <x:c r="B6" s="47" t="str">
        <x:v>Generation / Prediction</x:v>
      </x:c>
      <x:c r="C6" s="47" t="str">
        <x:v>Future video/state generation; actions may condition the input but are not generated</x:v>
      </x:c>
      <x:c r="D6" s="47" t="str">
        <x:v>Visual Foresight, Cosmos-Predict</x:v>
      </x:c>
      <x:c r="E6" s="47" t="str">
        <x:v>world simulation, planning</x:v>
      </x:c>
      <x:c r="F6" s="47" t="str">
        <x:v>GameNGen/Genie are G2 by output, but remain adjacent until a robot or physical-system bridge is demonstrated</x:v>
      </x:c>
    </x:row>
    <x:row r="7" ht="46.5" hidden="0" customHeight="1">
      <x:c r="A7" s="47" t="str">
        <x:v>G3</x:v>
      </x:c>
      <x:c r="B7" s="47" t="str">
        <x:v>Unified generation</x:v>
      </x:c>
      <x:c r="C7" s="47" t="str">
        <x:v>Joint/shared output of video or future state and actions</x:v>
      </x:c>
      <x:c r="D7" s="47" t="str">
        <x:v>GR-2, Cosmos Policy</x:v>
      </x:c>
      <x:c r="E7" s="47" t="str">
        <x:v>direct policy</x:v>
      </x:c>
      <x:c r="F7" s="47" t="str">
        <x:v>G3 vs A distinguishes output modality/architecture, not the downstream direct-policy role</x:v>
      </x:c>
    </x:row>
    <x:row r="8" ht="15" hidden="0" customHeight="1">
      <x:c r="A8" s="47" t="str">
        <x:v>U1</x:v>
      </x:c>
      <x:c r="B8" s="47" t="str">
        <x:v>Understanding</x:v>
      </x:c>
      <x:c r="C8" s="47" t="str">
        <x:v>Action/event/semantic class or global feature</x:v>
      </x:c>
      <x:c r="D8" s="47" t="str">
        <x:v>SlowFast</x:v>
      </x:c>
      <x:c r="E8" s="47" t="str">
        <x:v>perception backbone</x:v>
      </x:c>
      <x:c r="F8" s="47" t="str">
        <x:v>Not a generative model</x:v>
      </x:c>
    </x:row>
    <x:row r="9" ht="15" hidden="0" customHeight="1">
      <x:c r="A9" s="47" t="str">
        <x:v>U2</x:v>
      </x:c>
      <x:c r="B9" s="47" t="str">
        <x:v>Understanding</x:v>
      </x:c>
      <x:c r="C9" s="47" t="str">
        <x:v>Motion, tracking, interaction, affordance</x:v>
      </x:c>
      <x:c r="D9" s="47" t="str">
        <x:v>TAP-Vid, CoTracker</x:v>
      </x:c>
      <x:c r="E9" s="47" t="str">
        <x:v>perception, reward, policy condition</x:v>
      </x:c>
      <x:c r="F9" s="47" t="str">
        <x:v>May have no explicit future generation</x:v>
      </x:c>
    </x:row>
    <x:row r="10" ht="15" hidden="0" customHeight="1">
      <x:c r="A10" s="47" t="str">
        <x:v>U3</x:v>
      </x:c>
      <x:c r="B10" s="47" t="str">
        <x:v>Predictive representation</x:v>
      </x:c>
      <x:c r="C10" s="47" t="str">
        <x:v>Masked future/latent representation prediction</x:v>
      </x:c>
      <x:c r="D10" s="47" t="str">
        <x:v>V-JEPA 2</x:v>
      </x:c>
      <x:c r="E10" s="47" t="str">
        <x:v>latent planning</x:v>
      </x:c>
      <x:c r="F10" s="47" t="str">
        <x:v>Predicts embeddings rather than pixels</x:v>
      </x:c>
    </x:row>
    <x:row r="11" ht="15" hidden="0" customHeight="1">
      <x:c r="A11" s="47" t="str">
        <x:v>VL</x:v>
      </x:c>
      <x:c r="B11" s="47" t="str">
        <x:v>Video-language</x:v>
      </x:c>
      <x:c r="C11" s="47" t="str">
        <x:v>Video-text alignment and reasoning</x:v>
      </x:c>
      <x:c r="D11" s="47" t="str">
        <x:v>MineDojo, Magma</x:v>
      </x:c>
      <x:c r="E11" s="47" t="str">
        <x:v>reward, reasoning, policy</x:v>
      </x:c>
      <x:c r="F11" s="47" t="str">
        <x:v>Separate VLM from VLA</x:v>
      </x:c>
    </x:row>
    <x:row r="12" ht="36" hidden="0" customHeight="1">
      <x:c r="A12" s="47" t="str">
        <x:v>A</x:v>
      </x:c>
      <x:c r="B12" s="47" t="str">
        <x:v>Action-only generative</x:v>
      </x:c>
      <x:c r="C12" s="47" t="str">
        <x:v>Action trajectory/token generation</x:v>
      </x:c>
      <x:c r="D12" s="47" t="str">
        <x:v>Diffusion Policy, π0</x:v>
      </x:c>
      <x:c r="E12" s="47" t="str">
        <x:v>direct policy</x:v>
      </x:c>
      <x:c r="F12" s="47" t="str">
        <x:v>Action-only output; unlike G3, no video/future-state output is jointly generated</x:v>
      </x:c>
    </x:row>
    <x:row r="13" ht="15" hidden="0" customHeight="1">
      <x:c r="A13" s="47" t="str">
        <x:v>None</x:v>
      </x:c>
      <x:c r="B13" s="47" t="str">
        <x:v>No video origin</x:v>
      </x:c>
      <x:c r="C13" s="47" t="str">
        <x:v>No verified video-research origin</x:v>
      </x:c>
      <x:c r="D13" s="47" t="str">
        <x:v>Robotics controls</x:v>
      </x:c>
      <x:c r="E13" s="47" t="str">
        <x:v>denominator / comparison</x:v>
      </x:c>
      <x:c r="F13" s="47" t="str">
        <x:v>Do not claim migration</x:v>
      </x:c>
    </x:row>
    <x:row r="14" ht="15" hidden="0" customHeight="1">
      <x:c r="A14" s="47"/>
      <x:c r="B14" s="47"/>
      <x:c r="C14" s="47"/>
      <x:c r="D14" s="47"/>
      <x:c r="E14" s="47"/>
      <x:c r="F14" s="47"/>
    </x:row>
    <x:row r="15" ht="15" hidden="0" customHeight="1">
      <x:c r="A15" s="43" t="str">
        <x:v>Transition_Type</x:v>
      </x:c>
      <x:c r="B15" s="48" t="str">
        <x:v>Rule</x:v>
      </x:c>
      <x:c r="C15" s="48" t="str">
        <x:v>Meaning</x:v>
      </x:c>
      <x:c r="D15" s="44" t="str">
        <x:v>Statistical use</x:v>
      </x:c>
      <x:c r="E15" s="47"/>
      <x:c r="F15" s="47"/>
    </x:row>
    <x:row r="16" ht="39.599998474121094" hidden="0" customHeight="1">
      <x:c r="A16" s="47" t="str">
        <x:v>Switcher</x:v>
      </x:c>
      <x:c r="B16" s="47" t="str">
        <x:v>Organization or primary topic clearly moved video → robotics/world models</x:v>
      </x:c>
      <x:c r="C16" s="47" t="str">
        <x:v>strong migration</x:v>
      </x:c>
      <x:c r="D16" s="47" t="str">
        <x:v>strict transition rate</x:v>
      </x:c>
      <x:c r="E16" s="47"/>
      <x:c r="F16" s="47"/>
    </x:row>
    <x:row r="17" ht="26.399999618530273" hidden="0" customHeight="1">
      <x:c r="A17" s="47" t="str">
        <x:v>Bridger</x:v>
      </x:c>
      <x:c r="B17" s="47" t="str">
        <x:v>Important work in both fields or an explicit architecture transfer</x:v>
      </x:c>
      <x:c r="C17" s="47" t="str">
        <x:v>core bridge</x:v>
      </x:c>
      <x:c r="D17" s="47" t="str">
        <x:v>bridge-talent share</x:v>
      </x:c>
      <x:c r="E17" s="47"/>
      <x:c r="F17" s="47"/>
    </x:row>
    <x:row r="18" ht="26.399999618530273" hidden="0" customHeight="1">
      <x:c r="A18" s="47" t="str">
        <x:v>Native hybrid</x:v>
      </x:c>
      <x:c r="B18" s="47" t="str">
        <x:v>Video and robotics pursued together from an early stage</x:v>
      </x:c>
      <x:c r="C18" s="47" t="str">
        <x:v>fusion rather than migration</x:v>
      </x:c>
      <x:c r="D18" s="47" t="str">
        <x:v>ecosystem size</x:v>
      </x:c>
      <x:c r="E18" s="47"/>
      <x:c r="F18" s="47"/>
    </x:row>
    <x:row r="19" ht="26.399999618530273" hidden="0" customHeight="1">
      <x:c r="A19" s="47" t="str">
        <x:v>Robotics-first</x:v>
      </x:c>
      <x:c r="B19" s="47" t="str">
        <x:v>Important robotics researcher with weak video-origin evidence</x:v>
      </x:c>
      <x:c r="C19" s="47" t="str">
        <x:v>control group</x:v>
      </x:c>
      <x:c r="D19" s="47" t="str">
        <x:v>denominator / overclaim check</x:v>
      </x:c>
      <x:c r="E19" s="47"/>
      <x:c r="F19" s="47"/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2" hidden="0" customWidth="1"/>
    <x:col min="10" max="10" width="12" hidden="0" customWidth="1"/>
    <x:col min="11" max="11" width="12" hidden="0" customWidth="1"/>
    <x:col min="12" max="12" width="15" hidden="0" customWidth="1"/>
    <x:col min="13" max="13" width="15" hidden="0" customWidth="1"/>
    <x:col min="14" max="14" width="15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45" hidden="0" customWidth="1"/>
    <x:col min="20" max="20" width="45" hidden="0" customWidth="1"/>
    <x:col min="21" max="21" width="45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59" t="str">
        <x:v>Impact_rank</x:v>
      </x:c>
      <x:c r="B1" s="60" t="str">
        <x:v>Researcher_ID</x:v>
      </x:c>
      <x:c r="C1" s="60" t="str">
        <x:v>Name</x:v>
      </x:c>
      <x:c r="D1" s="60" t="str">
        <x:v>Region_cluster</x:v>
      </x:c>
      <x:c r="E1" s="60" t="str">
        <x:v>Evidence_organization</x:v>
      </x:c>
      <x:c r="F1" s="60" t="str">
        <x:v>Origin_architecture</x:v>
      </x:c>
      <x:c r="G1" s="60" t="str">
        <x:v>Robot_primary_role</x:v>
      </x:c>
      <x:c r="H1" s="60" t="str">
        <x:v>Transition_type</x:v>
      </x:c>
      <x:c r="I1" s="60" t="str">
        <x:v>G_score_0_3</x:v>
      </x:c>
      <x:c r="J1" s="60" t="str">
        <x:v>U_score_0_3</x:v>
      </x:c>
      <x:c r="K1" s="60" t="str">
        <x:v>Robotics_score_0_3</x:v>
      </x:c>
      <x:c r="L1" s="60" t="str">
        <x:v>Video_important</x:v>
      </x:c>
      <x:c r="M1" s="60" t="str">
        <x:v>Robotics_important</x:v>
      </x:c>
      <x:c r="N1" s="60" t="str">
        <x:v>Important_both</x:v>
      </x:c>
      <x:c r="O1" s="60" t="str">
        <x:v>Key_video_paper</x:v>
      </x:c>
      <x:c r="P1" s="60" t="str">
        <x:v>Key_robotics_paper</x:v>
      </x:c>
      <x:c r="Q1" s="60" t="str">
        <x:v>Evidence_strength</x:v>
      </x:c>
      <x:c r="R1" s="60" t="str">
        <x:v>Interpretation_note</x:v>
      </x:c>
      <x:c r="S1" s="60" t="str">
        <x:v>Profile_URL</x:v>
      </x:c>
      <x:c r="T1" s="60" t="str">
        <x:v>Video_evidence_URL</x:v>
      </x:c>
      <x:c r="U1" s="60" t="str">
        <x:v>Robotics_evidence_URL</x:v>
      </x:c>
      <x:c r="V1" s="60" t="str">
        <x:v>Representative_video_Paper_ID</x:v>
      </x:c>
      <x:c r="W1" s="60" t="str">
        <x:v>Video_citations</x:v>
      </x:c>
      <x:c r="X1" s="60" t="str">
        <x:v>Representative_robotics_Paper_ID</x:v>
      </x:c>
      <x:c r="Y1" s="60" t="str">
        <x:v>Robotics_citations</x:v>
      </x:c>
      <x:c r="Z1" s="60" t="str">
        <x:v>Bridge_impact_score</x:v>
      </x:c>
      <x:c r="AA1" s="60" t="str">
        <x:v>Citation_coverage</x:v>
      </x:c>
      <x:c r="AB1" s="61" t="str">
        <x:v>Citation_as_of</x:v>
      </x:c>
    </x:row>
    <x:row r="2">
      <x:c r="A2" s="49" t="n">
        <x:v>1</x:v>
      </x:c>
      <x:c r="B2" s="47" t="str">
        <x:v>R024</x:v>
      </x:c>
      <x:c r="C2" s="47" t="str">
        <x:v>Chelsea Finn</x:v>
      </x:c>
      <x:c r="D2" s="47" t="str">
        <x:v>US</x:v>
      </x:c>
      <x:c r="E2" s="47" t="str">
        <x:v>Stanford</x:v>
      </x:c>
      <x:c r="F2" s="47" t="str">
        <x:v>G2</x:v>
      </x:c>
      <x:c r="G2" s="47" t="str">
        <x:v>Direct policy</x:v>
      </x:c>
      <x:c r="H2" s="47" t="str">
        <x:v>Native hybrid</x:v>
      </x:c>
      <x:c r="I2" s="50" t="n">
        <x:v>2</x:v>
      </x:c>
      <x:c r="J2" s="50" t="n">
        <x:v>2</x:v>
      </x:c>
      <x:c r="K2" s="50" t="n">
        <x:v>3</x:v>
      </x:c>
      <x:c r="L2" s="47" t="str">
        <x:v>Yes</x:v>
      </x:c>
      <x:c r="M2" s="47" t="str">
        <x:v>Yes</x:v>
      </x:c>
      <x:c r="N2" s="47" t="str">
        <x:v>Yes</x:v>
      </x:c>
      <x:c r="O2" s="47" t="str">
        <x:v>Visual foresight / video prediction</x:v>
      </x:c>
      <x:c r="P2" s="47" t="str">
        <x:v>Diffusion Policy; Ctrl-World lineage</x:v>
      </x:c>
      <x:c r="Q2" s="47" t="str">
        <x:v>High</x:v>
      </x:c>
      <x:c r="R2" s="47" t="str">
        <x:v>Robotics-led hybrid; not a literal career switch</x:v>
      </x:c>
      <x:c r="S2" s="47" t="str">
        <x:v>https://ai.stanford.edu/~cbfinn/</x:v>
      </x:c>
      <x:c r="T2" s="47" t="str">
        <x:v>https://arxiv.org/abs/1610.00696</x:v>
      </x:c>
      <x:c r="U2" s="47" t="str">
        <x:v>https://arxiv.org/abs/2303.04137</x:v>
      </x:c>
      <x:c r="V2" s="47" t="str">
        <x:v>P009</x:v>
      </x:c>
      <x:c r="W2" s="50" t="n">
        <x:v>1130</x:v>
      </x:c>
      <x:c r="X2" s="47" t="str">
        <x:v>P031</x:v>
      </x:c>
      <x:c r="Y2" s="50" t="n">
        <x:v>3896</x:v>
      </x:c>
      <x:c r="Z2" s="51" t="n">
        <x:f>IF(OR(N2&lt;&gt;"Yes",AA2&lt;&gt;"Both selected papers covered"),"",SQRT((W2+1)*(Y2+1))*IF(Q2="High",1,0.8))</x:f>
        <x:v>2099.4063446603186</x:v>
      </x:c>
      <x:c r="AA2" s="47" t="str">
        <x:f>IF(AND(V2&lt;&gt;"",ISNUMBER(W2),X2&lt;&gt;"",ISNUMBER(Y2),COUNTIF('Papers'!$C$2:$C$56,V2)&gt;0,COUNTIF('Papers'!$C$2:$C$56,X2)&gt;0),"Both selected papers covered","Partial / missing selected-paper coverage")</x:f>
        <x:v>Both selected papers covered</x:v>
      </x:c>
      <x:c r="AB2" s="52" t="str">
        <x:v>2026-09-02</x:v>
      </x:c>
    </x:row>
    <x:row r="3">
      <x:c r="A3" s="49" t="n">
        <x:v>2</x:v>
      </x:c>
      <x:c r="B3" s="47" t="str">
        <x:v>R025</x:v>
      </x:c>
      <x:c r="C3" s="47" t="str">
        <x:v>Sergey Levine</x:v>
      </x:c>
      <x:c r="D3" s="47" t="str">
        <x:v>US</x:v>
      </x:c>
      <x:c r="E3" s="47" t="str">
        <x:v>UC Berkeley</x:v>
      </x:c>
      <x:c r="F3" s="47" t="str">
        <x:v>G2</x:v>
      </x:c>
      <x:c r="G3" s="47" t="str">
        <x:v>Planning</x:v>
      </x:c>
      <x:c r="H3" s="47" t="str">
        <x:v>Native hybrid</x:v>
      </x:c>
      <x:c r="I3" s="50" t="n">
        <x:v>2</x:v>
      </x:c>
      <x:c r="J3" s="50" t="n">
        <x:v>2</x:v>
      </x:c>
      <x:c r="K3" s="50" t="n">
        <x:v>3</x:v>
      </x:c>
      <x:c r="L3" s="47" t="str">
        <x:v>Yes</x:v>
      </x:c>
      <x:c r="M3" s="47" t="str">
        <x:v>Yes</x:v>
      </x:c>
      <x:c r="N3" s="47" t="str">
        <x:v>Yes</x:v>
      </x:c>
      <x:c r="O3" s="47" t="str">
        <x:v>Visual foresight</x:v>
      </x:c>
      <x:c r="P3" s="47" t="str">
        <x:v>Model-based robot learning</x:v>
      </x:c>
      <x:c r="Q3" s="47" t="str">
        <x:v>High</x:v>
      </x:c>
      <x:c r="R3" s="47" t="str">
        <x:v>Foundational action-conditioned visual prediction for control</x:v>
      </x:c>
      <x:c r="S3" s="47" t="str">
        <x:v>https://people.eecs.berkeley.edu/~svlevine/</x:v>
      </x:c>
      <x:c r="T3" s="47" t="str">
        <x:v>https://arxiv.org/abs/1610.00696</x:v>
      </x:c>
      <x:c r="U3" s="47" t="str">
        <x:v>https://arxiv.org/abs/1610.00696</x:v>
      </x:c>
      <x:c r="V3" s="47" t="str">
        <x:v>P009</x:v>
      </x:c>
      <x:c r="W3" s="50" t="n">
        <x:v>1130</x:v>
      </x:c>
      <x:c r="X3" s="47" t="str">
        <x:v>P009</x:v>
      </x:c>
      <x:c r="Y3" s="50" t="n">
        <x:v>1130</x:v>
      </x:c>
      <x:c r="Z3" s="51" t="n">
        <x:f>IF(OR(N3&lt;&gt;"Yes",AA3&lt;&gt;"Both selected papers covered"),"",SQRT((W3+1)*(Y3+1))*IF(Q3="High",1,0.8))</x:f>
        <x:v>1131</x:v>
      </x:c>
      <x:c r="AA3" s="47" t="str">
        <x:f>IF(AND(V3&lt;&gt;"",ISNUMBER(W3),X3&lt;&gt;"",ISNUMBER(Y3),COUNTIF('Papers'!$C$2:$C$56,V3)&gt;0,COUNTIF('Papers'!$C$2:$C$56,X3)&gt;0),"Both selected papers covered","Partial / missing selected-paper coverage")</x:f>
        <x:v>Both selected papers covered</x:v>
      </x:c>
      <x:c r="AB3" s="52" t="str">
        <x:v>2026-09-02</x:v>
      </x:c>
    </x:row>
    <x:row r="4">
      <x:c r="A4" s="49" t="n">
        <x:v>3</x:v>
      </x:c>
      <x:c r="B4" s="47" t="str">
        <x:v>R018</x:v>
      </x:c>
      <x:c r="C4" s="47" t="str">
        <x:v>Ming-Yu Liu</x:v>
      </x:c>
      <x:c r="D4" s="47" t="str">
        <x:v>US</x:v>
      </x:c>
      <x:c r="E4" s="47" t="str">
        <x:v>NVIDIA</x:v>
      </x:c>
      <x:c r="F4" s="47" t="str">
        <x:v>G1</x:v>
      </x:c>
      <x:c r="G4" s="47" t="str">
        <x:v>World simulation</x:v>
      </x:c>
      <x:c r="H4" s="47" t="str">
        <x:v>Bridger</x:v>
      </x:c>
      <x:c r="I4" s="50" t="n">
        <x:v>3</x:v>
      </x:c>
      <x:c r="J4" s="50" t="n">
        <x:v>2</x:v>
      </x:c>
      <x:c r="K4" s="50" t="n">
        <x:v>3</x:v>
      </x:c>
      <x:c r="L4" s="47" t="str">
        <x:v>Yes</x:v>
      </x:c>
      <x:c r="M4" s="47" t="str">
        <x:v>Yes</x:v>
      </x:c>
      <x:c r="N4" s="47" t="str">
        <x:v>Yes</x:v>
      </x:c>
      <x:c r="O4" s="47" t="str">
        <x:v>Video synthesis / GAN lineage</x:v>
      </x:c>
      <x:c r="P4" s="47" t="str">
        <x:v>Cosmos world foundation models</x:v>
      </x:c>
      <x:c r="Q4" s="47" t="str">
        <x:v>High</x:v>
      </x:c>
      <x:c r="R4" s="47" t="str">
        <x:v>Generation architecture transferred to physical-AI simulation</x:v>
      </x:c>
      <x:c r="S4" s="47" t="str">
        <x:v>https://mingyuliutw.github.io/</x:v>
      </x:c>
      <x:c r="T4" s="47" t="str">
        <x:v>https://arxiv.org/abs/1808.06601</x:v>
      </x:c>
      <x:c r="U4" s="47" t="str">
        <x:v>https://arxiv.org/abs/2501.03575</x:v>
      </x:c>
      <x:c r="V4" s="47" t="str">
        <x:v>P016</x:v>
      </x:c>
      <x:c r="W4" s="50" t="n">
        <x:v>740</x:v>
      </x:c>
      <x:c r="X4" s="47" t="str">
        <x:v>P016</x:v>
      </x:c>
      <x:c r="Y4" s="50" t="n">
        <x:v>740</x:v>
      </x:c>
      <x:c r="Z4" s="51" t="n">
        <x:f>IF(OR(N4&lt;&gt;"Yes",AA4&lt;&gt;"Both selected papers covered"),"",SQRT((W4+1)*(Y4+1))*IF(Q4="High",1,0.8))</x:f>
        <x:v>741</x:v>
      </x:c>
      <x:c r="AA4" s="47" t="str">
        <x:f>IF(AND(V4&lt;&gt;"",ISNUMBER(W4),X4&lt;&gt;"",ISNUMBER(Y4),COUNTIF('Papers'!$C$2:$C$56,V4)&gt;0,COUNTIF('Papers'!$C$2:$C$56,X4)&gt;0),"Both selected papers covered","Partial / missing selected-paper coverage")</x:f>
        <x:v>Both selected papers covered</x:v>
      </x:c>
      <x:c r="AB4" s="52" t="str">
        <x:v>2026-09-02</x:v>
      </x:c>
    </x:row>
    <x:row r="5">
      <x:c r="A5" s="49" t="n">
        <x:v>4</x:v>
      </x:c>
      <x:c r="B5" s="47" t="str">
        <x:v>R046</x:v>
      </x:c>
      <x:c r="C5" s="47" t="str">
        <x:v>Oier Mees</x:v>
      </x:c>
      <x:c r="D5" s="47" t="str">
        <x:v>Europe</x:v>
      </x:c>
      <x:c r="E5" s="47" t="str">
        <x:v>University of Freiburg</x:v>
      </x:c>
      <x:c r="F5" s="47" t="str">
        <x:v>VL</x:v>
      </x:c>
      <x:c r="G5" s="47" t="str">
        <x:v>Direct policy</x:v>
      </x:c>
      <x:c r="H5" s="47" t="str">
        <x:v>Bridger</x:v>
      </x:c>
      <x:c r="I5" s="50" t="n">
        <x:v>1</x:v>
      </x:c>
      <x:c r="J5" s="50" t="n">
        <x:v>3</x:v>
      </x:c>
      <x:c r="K5" s="50" t="n">
        <x:v>3</x:v>
      </x:c>
      <x:c r="L5" s="47" t="str">
        <x:v>Yes</x:v>
      </x:c>
      <x:c r="M5" s="47" t="str">
        <x:v>Yes</x:v>
      </x:c>
      <x:c r="N5" s="47" t="str">
        <x:v>Yes</x:v>
      </x:c>
      <x:c r="O5" s="47" t="str">
        <x:v>Language-conditioned video/representation learning</x:v>
      </x:c>
      <x:c r="P5" s="47" t="str">
        <x:v>CALVIN; generalist robot policies</x:v>
      </x:c>
      <x:c r="Q5" s="47" t="str">
        <x:v>High</x:v>
      </x:c>
      <x:c r="R5" s="47" t="str">
        <x:v>Leading European video-language/robot learning bridge</x:v>
      </x:c>
      <x:c r="S5" s="47" t="str">
        <x:v>https://www.oiermees.com/</x:v>
      </x:c>
      <x:c r="T5" s="47" t="str">
        <x:v>https://arxiv.org/abs/2112.03227</x:v>
      </x:c>
      <x:c r="U5" s="47" t="str">
        <x:v>https://arxiv.org/abs/2112.03227</x:v>
      </x:c>
      <x:c r="V5" s="47" t="str">
        <x:v>P034</x:v>
      </x:c>
      <x:c r="W5" s="50" t="n">
        <x:v>735</x:v>
      </x:c>
      <x:c r="X5" s="47" t="str">
        <x:v>P034</x:v>
      </x:c>
      <x:c r="Y5" s="50" t="n">
        <x:v>735</x:v>
      </x:c>
      <x:c r="Z5" s="51" t="n">
        <x:f>IF(OR(N5&lt;&gt;"Yes",AA5&lt;&gt;"Both selected papers covered"),"",SQRT((W5+1)*(Y5+1))*IF(Q5="High",1,0.8))</x:f>
        <x:v>736</x:v>
      </x:c>
      <x:c r="AA5" s="47" t="str">
        <x:f>IF(AND(V5&lt;&gt;"",ISNUMBER(W5),X5&lt;&gt;"",ISNUMBER(Y5),COUNTIF('Papers'!$C$2:$C$56,V5)&gt;0,COUNTIF('Papers'!$C$2:$C$56,X5)&gt;0),"Both selected papers covered","Partial / missing selected-paper coverage")</x:f>
        <x:v>Both selected papers covered</x:v>
      </x:c>
      <x:c r="AB5" s="52" t="str">
        <x:v>2026-09-02</x:v>
      </x:c>
    </x:row>
    <x:row r="6">
      <x:c r="A6" s="49" t="n">
        <x:v>5</x:v>
      </x:c>
      <x:c r="B6" s="47" t="str">
        <x:v>R049</x:v>
      </x:c>
      <x:c r="C6" s="47" t="str">
        <x:v>Thomas Brox</x:v>
      </x:c>
      <x:c r="D6" s="47" t="str">
        <x:v>Europe</x:v>
      </x:c>
      <x:c r="E6" s="47" t="str">
        <x:v>University of Freiburg</x:v>
      </x:c>
      <x:c r="F6" s="47" t="str">
        <x:v>U2</x:v>
      </x:c>
      <x:c r="G6" s="47" t="str">
        <x:v>Perception backbone</x:v>
      </x:c>
      <x:c r="H6" s="47" t="str">
        <x:v>Native hybrid</x:v>
      </x:c>
      <x:c r="I6" s="50" t="n">
        <x:v>1</x:v>
      </x:c>
      <x:c r="J6" s="50" t="n">
        <x:v>3</x:v>
      </x:c>
      <x:c r="K6" s="50" t="n">
        <x:v>3</x:v>
      </x:c>
      <x:c r="L6" s="47" t="str">
        <x:v>Yes</x:v>
      </x:c>
      <x:c r="M6" s="47" t="str">
        <x:v>Yes</x:v>
      </x:c>
      <x:c r="N6" s="47" t="str">
        <x:v>Yes</x:v>
      </x:c>
      <x:c r="O6" s="47" t="str">
        <x:v>Optical flow / video understanding</x:v>
      </x:c>
      <x:c r="P6" s="47" t="str">
        <x:v>Robot learning / world models</x:v>
      </x:c>
      <x:c r="Q6" s="47" t="str">
        <x:v>High</x:v>
      </x:c>
      <x:c r="R6" s="47" t="str">
        <x:v>Foundational motion understanding with robotics transfer</x:v>
      </x:c>
      <x:c r="S6" s="47" t="str">
        <x:v>https://lmb.informatik.uni-freiburg.de/people/brox/</x:v>
      </x:c>
      <x:c r="T6" s="47" t="str">
        <x:v>https://arxiv.org/abs/1504.06852</x:v>
      </x:c>
      <x:c r="U6" s="47" t="str">
        <x:v>https://arxiv.org/abs/2112.03227</x:v>
      </x:c>
      <x:c r="V6" s="47" t="str">
        <x:v>P034</x:v>
      </x:c>
      <x:c r="W6" s="50" t="n">
        <x:v>735</x:v>
      </x:c>
      <x:c r="X6" s="47" t="str">
        <x:v>P034</x:v>
      </x:c>
      <x:c r="Y6" s="50" t="n">
        <x:v>735</x:v>
      </x:c>
      <x:c r="Z6" s="51" t="n">
        <x:f>IF(OR(N6&lt;&gt;"Yes",AA6&lt;&gt;"Both selected papers covered"),"",SQRT((W6+1)*(Y6+1))*IF(Q6="High",1,0.8))</x:f>
        <x:v>736</x:v>
      </x:c>
      <x:c r="AA6" s="47" t="str">
        <x:f>IF(AND(V6&lt;&gt;"",ISNUMBER(W6),X6&lt;&gt;"",ISNUMBER(Y6),COUNTIF('Papers'!$C$2:$C$56,V6)&gt;0,COUNTIF('Papers'!$C$2:$C$56,X6)&gt;0),"Both selected papers covered","Partial / missing selected-paper coverage")</x:f>
        <x:v>Both selected papers covered</x:v>
      </x:c>
      <x:c r="AB6" s="52" t="str">
        <x:v>2026-09-02</x:v>
      </x:c>
    </x:row>
    <x:row r="7">
      <x:c r="A7" s="49" t="n">
        <x:v>6</x:v>
      </x:c>
      <x:c r="B7" s="47" t="str">
        <x:v>R026</x:v>
      </x:c>
      <x:c r="C7" s="47" t="str">
        <x:v>Frederik Ebert</x:v>
      </x:c>
      <x:c r="D7" s="47" t="str">
        <x:v>US</x:v>
      </x:c>
      <x:c r="E7" s="47" t="str">
        <x:v>UC Berkeley</x:v>
      </x:c>
      <x:c r="F7" s="47" t="str">
        <x:v>G2</x:v>
      </x:c>
      <x:c r="G7" s="47" t="str">
        <x:v>Planning</x:v>
      </x:c>
      <x:c r="H7" s="47" t="str">
        <x:v>Native hybrid</x:v>
      </x:c>
      <x:c r="I7" s="50" t="n">
        <x:v>2</x:v>
      </x:c>
      <x:c r="J7" s="50" t="n">
        <x:v>1</x:v>
      </x:c>
      <x:c r="K7" s="50" t="n">
        <x:v>3</x:v>
      </x:c>
      <x:c r="L7" s="47" t="str">
        <x:v>Yes</x:v>
      </x:c>
      <x:c r="M7" s="47" t="str">
        <x:v>Yes</x:v>
      </x:c>
      <x:c r="N7" s="47" t="str">
        <x:v>Yes</x:v>
      </x:c>
      <x:c r="O7" s="47" t="str">
        <x:v>Visual foresight</x:v>
      </x:c>
      <x:c r="P7" s="47" t="str">
        <x:v>Visual MPC</x:v>
      </x:c>
      <x:c r="Q7" s="47" t="str">
        <x:v>High</x:v>
      </x:c>
      <x:c r="R7" s="47" t="str">
        <x:v>Foundational robot video prediction</x:v>
      </x:c>
      <x:c r="S7" s="47" t="str">
        <x:v>https://febert.github.io/</x:v>
      </x:c>
      <x:c r="T7" s="47" t="str">
        <x:v>https://arxiv.org/abs/1610.00696</x:v>
      </x:c>
      <x:c r="U7" s="47" t="str">
        <x:v>https://arxiv.org/abs/1610.00696</x:v>
      </x:c>
      <x:c r="V7" s="47" t="str">
        <x:v>P009</x:v>
      </x:c>
      <x:c r="W7" s="50" t="n">
        <x:v>1130</x:v>
      </x:c>
      <x:c r="X7" s="47" t="str">
        <x:v>P037</x:v>
      </x:c>
      <x:c r="Y7" s="50" t="n">
        <x:v>444</x:v>
      </x:c>
      <x:c r="Z7" s="51" t="n">
        <x:f>IF(OR(N7&lt;&gt;"Yes",AA7&lt;&gt;"Both selected papers covered"),"",SQRT((W7+1)*(Y7+1))*IF(Q7="High",1,0.8))</x:f>
        <x:v>709.4328720886847</x:v>
      </x:c>
      <x:c r="AA7" s="47" t="str">
        <x:f>IF(AND(V7&lt;&gt;"",ISNUMBER(W7),X7&lt;&gt;"",ISNUMBER(Y7),COUNTIF('Papers'!$C$2:$C$56,V7)&gt;0,COUNTIF('Papers'!$C$2:$C$56,X7)&gt;0),"Both selected papers covered","Partial / missing selected-paper coverage")</x:f>
        <x:v>Both selected papers covered</x:v>
      </x:c>
      <x:c r="AB7" s="52" t="str">
        <x:v>2026-09-02</x:v>
      </x:c>
    </x:row>
    <x:row r="8">
      <x:c r="A8" s="49" t="n">
        <x:v>7</x:v>
      </x:c>
      <x:c r="B8" s="47" t="str">
        <x:v>R012</x:v>
      </x:c>
      <x:c r="C8" s="47" t="str">
        <x:v>David Fan</x:v>
      </x:c>
      <x:c r="D8" s="47" t="str">
        <x:v>US</x:v>
      </x:c>
      <x:c r="E8" s="47" t="str">
        <x:v>Meta FAIR</x:v>
      </x:c>
      <x:c r="F8" s="47" t="str">
        <x:v>U3</x:v>
      </x:c>
      <x:c r="G8" s="47" t="str">
        <x:v>Planning</x:v>
      </x:c>
      <x:c r="H8" s="47" t="str">
        <x:v>Bridger</x:v>
      </x:c>
      <x:c r="I8" s="50" t="n">
        <x:v>0</x:v>
      </x:c>
      <x:c r="J8" s="50" t="n">
        <x:v>3</x:v>
      </x:c>
      <x:c r="K8" s="50" t="n">
        <x:v>3</x:v>
      </x:c>
      <x:c r="L8" s="47" t="str">
        <x:v>Yes</x:v>
      </x:c>
      <x:c r="M8" s="47" t="str">
        <x:v>Yes</x:v>
      </x:c>
      <x:c r="N8" s="47" t="str">
        <x:v>Yes</x:v>
      </x:c>
      <x:c r="O8" s="47" t="str">
        <x:v>V-JEPA 2</x:v>
      </x:c>
      <x:c r="P8" s="47" t="str">
        <x:v>V-JEPA 2-AC</x:v>
      </x:c>
      <x:c r="Q8" s="47" t="str">
        <x:v>High</x:v>
      </x:c>
      <x:c r="R8" s="47" t="str">
        <x:v>Robot planning via action-conditioned latent world model</x:v>
      </x:c>
      <x:c r="S8" s="47" t="str">
        <x:v>https://arxiv.org/abs/2506.09985</x:v>
      </x:c>
      <x:c r="T8" s="47" t="str">
        <x:v>https://arxiv.org/abs/2506.09985</x:v>
      </x:c>
      <x:c r="U8" s="47" t="str">
        <x:v>https://arxiv.org/abs/2506.09985</x:v>
      </x:c>
      <x:c r="V8" s="47" t="str">
        <x:v>P004</x:v>
      </x:c>
      <x:c r="W8" s="50" t="n">
        <x:v>693</x:v>
      </x:c>
      <x:c r="X8" s="47" t="str">
        <x:v>P004</x:v>
      </x:c>
      <x:c r="Y8" s="50" t="n">
        <x:v>693</x:v>
      </x:c>
      <x:c r="Z8" s="51" t="n">
        <x:f>IF(OR(N8&lt;&gt;"Yes",AA8&lt;&gt;"Both selected papers covered"),"",SQRT((W8+1)*(Y8+1))*IF(Q8="High",1,0.8))</x:f>
        <x:v>694</x:v>
      </x:c>
      <x:c r="AA8" s="47" t="str">
        <x:f>IF(AND(V8&lt;&gt;"",ISNUMBER(W8),X8&lt;&gt;"",ISNUMBER(Y8),COUNTIF('Papers'!$C$2:$C$56,V8)&gt;0,COUNTIF('Papers'!$C$2:$C$56,X8)&gt;0),"Both selected papers covered","Partial / missing selected-paper coverage")</x:f>
        <x:v>Both selected papers covered</x:v>
      </x:c>
      <x:c r="AB8" s="52" t="str">
        <x:v>2026-09-02</x:v>
      </x:c>
    </x:row>
    <x:row r="9">
      <x:c r="A9" s="49" t="n">
        <x:v>8</x:v>
      </x:c>
      <x:c r="B9" s="47" t="str">
        <x:v>R015</x:v>
      </x:c>
      <x:c r="C9" s="47" t="str">
        <x:v>Franziska Meier</x:v>
      </x:c>
      <x:c r="D9" s="47" t="str">
        <x:v>US</x:v>
      </x:c>
      <x:c r="E9" s="47" t="str">
        <x:v>Meta FAIR</x:v>
      </x:c>
      <x:c r="F9" s="47" t="str">
        <x:v>U3</x:v>
      </x:c>
      <x:c r="G9" s="47" t="str">
        <x:v>Planning</x:v>
      </x:c>
      <x:c r="H9" s="47" t="str">
        <x:v>Bridger</x:v>
      </x:c>
      <x:c r="I9" s="50" t="n">
        <x:v>0</x:v>
      </x:c>
      <x:c r="J9" s="50" t="n">
        <x:v>3</x:v>
      </x:c>
      <x:c r="K9" s="50" t="n">
        <x:v>3</x:v>
      </x:c>
      <x:c r="L9" s="47" t="str">
        <x:v>Yes</x:v>
      </x:c>
      <x:c r="M9" s="47" t="str">
        <x:v>Yes</x:v>
      </x:c>
      <x:c r="N9" s="47" t="str">
        <x:v>Yes</x:v>
      </x:c>
      <x:c r="O9" s="47" t="str">
        <x:v>V-JEPA 2</x:v>
      </x:c>
      <x:c r="P9" s="47" t="str">
        <x:v>V-JEPA 2-AC</x:v>
      </x:c>
      <x:c r="Q9" s="47" t="str">
        <x:v>High</x:v>
      </x:c>
      <x:c r="R9" s="47" t="str">
        <x:v>Explicit robotics and video-model bridge</x:v>
      </x:c>
      <x:c r="S9" s="47" t="str">
        <x:v>https://arxiv.org/abs/2506.09985</x:v>
      </x:c>
      <x:c r="T9" s="47" t="str">
        <x:v>https://arxiv.org/abs/2506.09985</x:v>
      </x:c>
      <x:c r="U9" s="47" t="str">
        <x:v>https://arxiv.org/abs/2506.09985</x:v>
      </x:c>
      <x:c r="V9" s="47" t="str">
        <x:v>P004</x:v>
      </x:c>
      <x:c r="W9" s="50" t="n">
        <x:v>693</x:v>
      </x:c>
      <x:c r="X9" s="47" t="str">
        <x:v>P004</x:v>
      </x:c>
      <x:c r="Y9" s="50" t="n">
        <x:v>693</x:v>
      </x:c>
      <x:c r="Z9" s="51" t="n">
        <x:f>IF(OR(N9&lt;&gt;"Yes",AA9&lt;&gt;"Both selected papers covered"),"",SQRT((W9+1)*(Y9+1))*IF(Q9="High",1,0.8))</x:f>
        <x:v>694</x:v>
      </x:c>
      <x:c r="AA9" s="47" t="str">
        <x:f>IF(AND(V9&lt;&gt;"",ISNUMBER(W9),X9&lt;&gt;"",ISNUMBER(Y9),COUNTIF('Papers'!$C$2:$C$56,V9)&gt;0,COUNTIF('Papers'!$C$2:$C$56,X9)&gt;0),"Both selected papers covered","Partial / missing selected-paper coverage")</x:f>
        <x:v>Both selected papers covered</x:v>
      </x:c>
      <x:c r="AB9" s="52" t="str">
        <x:v>2026-09-02</x:v>
      </x:c>
    </x:row>
    <x:row r="10">
      <x:c r="A10" s="49" t="n">
        <x:v>9</x:v>
      </x:c>
      <x:c r="B10" s="47" t="str">
        <x:v>R016</x:v>
      </x:c>
      <x:c r="C10" s="47" t="str">
        <x:v>Sergio Arnaud</x:v>
      </x:c>
      <x:c r="D10" s="47" t="str">
        <x:v>Europe</x:v>
      </x:c>
      <x:c r="E10" s="47" t="str">
        <x:v>Meta FAIR Paris</x:v>
      </x:c>
      <x:c r="F10" s="47" t="str">
        <x:v>U3</x:v>
      </x:c>
      <x:c r="G10" s="47" t="str">
        <x:v>Planning</x:v>
      </x:c>
      <x:c r="H10" s="47" t="str">
        <x:v>Bridger</x:v>
      </x:c>
      <x:c r="I10" s="50" t="n">
        <x:v>0</x:v>
      </x:c>
      <x:c r="J10" s="50" t="n">
        <x:v>3</x:v>
      </x:c>
      <x:c r="K10" s="50" t="n">
        <x:v>3</x:v>
      </x:c>
      <x:c r="L10" s="47" t="str">
        <x:v>Yes</x:v>
      </x:c>
      <x:c r="M10" s="47" t="str">
        <x:v>Yes</x:v>
      </x:c>
      <x:c r="N10" s="47" t="str">
        <x:v>Yes</x:v>
      </x:c>
      <x:c r="O10" s="47" t="str">
        <x:v>V-JEPA 2</x:v>
      </x:c>
      <x:c r="P10" s="47" t="str">
        <x:v>V-JEPA 2-AC</x:v>
      </x:c>
      <x:c r="Q10" s="47" t="str">
        <x:v>High</x:v>
      </x:c>
      <x:c r="R10" s="47" t="str">
        <x:v>Core team on robotics post-training</x:v>
      </x:c>
      <x:c r="S10" s="47" t="str">
        <x:v>https://arxiv.org/abs/2506.09985</x:v>
      </x:c>
      <x:c r="T10" s="47" t="str">
        <x:v>https://arxiv.org/abs/2506.09985</x:v>
      </x:c>
      <x:c r="U10" s="47" t="str">
        <x:v>https://arxiv.org/abs/2506.09985</x:v>
      </x:c>
      <x:c r="V10" s="47" t="str">
        <x:v>P004</x:v>
      </x:c>
      <x:c r="W10" s="50" t="n">
        <x:v>693</x:v>
      </x:c>
      <x:c r="X10" s="47" t="str">
        <x:v>P004</x:v>
      </x:c>
      <x:c r="Y10" s="50" t="n">
        <x:v>693</x:v>
      </x:c>
      <x:c r="Z10" s="51" t="n">
        <x:f>IF(OR(N10&lt;&gt;"Yes",AA10&lt;&gt;"Both selected papers covered"),"",SQRT((W10+1)*(Y10+1))*IF(Q10="High",1,0.8))</x:f>
        <x:v>694</x:v>
      </x:c>
      <x:c r="AA10" s="47" t="str">
        <x:f>IF(AND(V10&lt;&gt;"",ISNUMBER(W10),X10&lt;&gt;"",ISNUMBER(Y10),COUNTIF('Papers'!$C$2:$C$56,V10)&gt;0,COUNTIF('Papers'!$C$2:$C$56,X10)&gt;0),"Both selected papers covered","Partial / missing selected-paper coverage")</x:f>
        <x:v>Both selected papers covered</x:v>
      </x:c>
      <x:c r="AB10" s="52" t="str">
        <x:v>2026-09-02</x:v>
      </x:c>
    </x:row>
    <x:row r="11">
      <x:c r="A11" s="49" t="n">
        <x:v>10</x:v>
      </x:c>
      <x:c r="B11" s="47" t="str">
        <x:v>R055</x:v>
      </x:c>
      <x:c r="C11" s="47" t="str">
        <x:v>Linxi Fan</x:v>
      </x:c>
      <x:c r="D11" s="47" t="str">
        <x:v>US</x:v>
      </x:c>
      <x:c r="E11" s="47" t="str">
        <x:v>NVIDIA</x:v>
      </x:c>
      <x:c r="F11" s="47" t="str">
        <x:v>VL</x:v>
      </x:c>
      <x:c r="G11" s="47" t="str">
        <x:v>Reward / affordance</x:v>
      </x:c>
      <x:c r="H11" s="47" t="str">
        <x:v>Native hybrid</x:v>
      </x:c>
      <x:c r="I11" s="50" t="n">
        <x:v>1</x:v>
      </x:c>
      <x:c r="J11" s="50" t="n">
        <x:v>3</x:v>
      </x:c>
      <x:c r="K11" s="50" t="n">
        <x:v>3</x:v>
      </x:c>
      <x:c r="L11" s="47" t="str">
        <x:v>Yes</x:v>
      </x:c>
      <x:c r="M11" s="47" t="str">
        <x:v>Yes</x:v>
      </x:c>
      <x:c r="N11" s="47" t="str">
        <x:v>Yes</x:v>
      </x:c>
      <x:c r="O11" s="47" t="str">
        <x:v>Video-language learning</x:v>
      </x:c>
      <x:c r="P11" s="47" t="str">
        <x:v>MineDojo; VIMA</x:v>
      </x:c>
      <x:c r="Q11" s="47" t="str">
        <x:v>High</x:v>
      </x:c>
      <x:c r="R11" s="47" t="str">
        <x:v>Video-language knowledge used for embodied agents</x:v>
      </x:c>
      <x:c r="S11" s="47" t="str">
        <x:v>https://linxi.ai/</x:v>
      </x:c>
      <x:c r="T11" s="47" t="str">
        <x:v>https://arxiv.org/abs/2206.08853</x:v>
      </x:c>
      <x:c r="U11" s="47" t="str">
        <x:v>https://openreview.net/forum?id=oU2DzdTI94</x:v>
      </x:c>
      <x:c r="V11" s="47" t="str">
        <x:v>P024</x:v>
      </x:c>
      <x:c r="W11" s="50" t="n">
        <x:v>544</x:v>
      </x:c>
      <x:c r="X11" s="47" t="str">
        <x:v>P019</x:v>
      </x:c>
      <x:c r="Y11" s="50" t="n">
        <x:v>834</x:v>
      </x:c>
      <x:c r="Z11" s="51" t="n">
        <x:f>IF(OR(N11&lt;&gt;"Yes",AA11&lt;&gt;"Both selected papers covered"),"",SQRT((W11+1)*(Y11+1))*IF(Q11="High",1,0.8))</x:f>
        <x:v>674.5924695695913</x:v>
      </x:c>
      <x:c r="AA11" s="47" t="str">
        <x:f>IF(AND(V11&lt;&gt;"",ISNUMBER(W11),X11&lt;&gt;"",ISNUMBER(Y11),COUNTIF('Papers'!$C$2:$C$56,V11)&gt;0,COUNTIF('Papers'!$C$2:$C$56,X11)&gt;0),"Both selected papers covered","Partial / missing selected-paper coverage")</x:f>
        <x:v>Both selected papers covered</x:v>
      </x:c>
      <x:c r="AB11" s="52" t="str">
        <x:v>2026-09-02</x:v>
      </x:c>
    </x:row>
    <x:row r="12">
      <x:c r="A12" s="50" t="n">
        <x:v>11</x:v>
      </x:c>
      <x:c r="B12" s="47" t="str">
        <x:v>R005</x:v>
      </x:c>
      <x:c r="C12" s="47" t="str">
        <x:v>Sherry Yang</x:v>
      </x:c>
      <x:c r="D12" s="47" t="str">
        <x:v>US</x:v>
      </x:c>
      <x:c r="E12" s="47" t="str">
        <x:v>Google DeepMind</x:v>
      </x:c>
      <x:c r="F12" s="47" t="str">
        <x:v>G1</x:v>
      </x:c>
      <x:c r="G12" s="47" t="str">
        <x:v>Planning</x:v>
      </x:c>
      <x:c r="H12" s="47" t="str">
        <x:v>Bridger</x:v>
      </x:c>
      <x:c r="I12" s="50" t="n">
        <x:v>3</x:v>
      </x:c>
      <x:c r="J12" s="50" t="n">
        <x:v>1</x:v>
      </x:c>
      <x:c r="K12" s="50" t="n">
        <x:v>3</x:v>
      </x:c>
      <x:c r="L12" s="47" t="str">
        <x:v>Yes</x:v>
      </x:c>
      <x:c r="M12" s="47" t="str">
        <x:v>Yes</x:v>
      </x:c>
      <x:c r="N12" s="47" t="str">
        <x:v>Yes</x:v>
      </x:c>
      <x:c r="O12" s="47" t="str">
        <x:v>Video generation research</x:v>
      </x:c>
      <x:c r="P12" s="47" t="str">
        <x:v>UniPi</x:v>
      </x:c>
      <x:c r="Q12" s="47" t="str">
        <x:v>High</x:v>
      </x:c>
      <x:c r="R12" s="47" t="str">
        <x:v>Text-guided video generation used as policy/planner</x:v>
      </x:c>
      <x:c r="S12" s="47" t="str">
        <x:v>https://sherryy.github.io/</x:v>
      </x:c>
      <x:c r="T12" s="47" t="str">
        <x:v>https://arxiv.org/abs/2302.01398</x:v>
      </x:c>
      <x:c r="U12" s="47" t="str">
        <x:v>https://research.google/blog/unipi-learning-universal-policies-via-text-guided-video-generation/</x:v>
      </x:c>
      <x:c r="V12" s="47" t="str">
        <x:v>P011</x:v>
      </x:c>
      <x:c r="W12" s="50" t="n">
        <x:v>659</x:v>
      </x:c>
      <x:c r="X12" s="47" t="str">
        <x:v>P011</x:v>
      </x:c>
      <x:c r="Y12" s="50" t="n">
        <x:v>659</x:v>
      </x:c>
      <x:c r="Z12" s="51" t="n">
        <x:f>IF(OR(N12&lt;&gt;"Yes",AA12&lt;&gt;"Both selected papers covered"),"",SQRT((W12+1)*(Y12+1))*IF(Q12="High",1,0.8))</x:f>
        <x:v>660</x:v>
      </x:c>
      <x:c r="AA12" s="47" t="str">
        <x:f>IF(AND(V12&lt;&gt;"",ISNUMBER(W12),X12&lt;&gt;"",ISNUMBER(Y12),COUNTIF('Papers'!$C$2:$C$56,V12)&gt;0,COUNTIF('Papers'!$C$2:$C$56,X12)&gt;0),"Both selected papers covered","Partial / missing selected-paper coverage")</x:f>
        <x:v>Both selected papers covered</x:v>
      </x:c>
      <x:c r="AB12" s="52" t="str">
        <x:v>2026-09-02</x:v>
      </x:c>
    </x:row>
    <x:row r="13">
      <x:c r="A13" s="50" t="n">
        <x:v>12</x:v>
      </x:c>
      <x:c r="B13" s="47" t="str">
        <x:v>R011</x:v>
      </x:c>
      <x:c r="C13" s="47" t="str">
        <x:v>Adrien Bardes</x:v>
      </x:c>
      <x:c r="D13" s="47" t="str">
        <x:v>Europe</x:v>
      </x:c>
      <x:c r="E13" s="47" t="str">
        <x:v>Meta FAIR Paris</x:v>
      </x:c>
      <x:c r="F13" s="47" t="str">
        <x:v>U3</x:v>
      </x:c>
      <x:c r="G13" s="47" t="str">
        <x:v>Planning</x:v>
      </x:c>
      <x:c r="H13" s="47" t="str">
        <x:v>Bridger</x:v>
      </x:c>
      <x:c r="I13" s="50" t="n">
        <x:v>0</x:v>
      </x:c>
      <x:c r="J13" s="50" t="n">
        <x:v>3</x:v>
      </x:c>
      <x:c r="K13" s="50" t="n">
        <x:v>3</x:v>
      </x:c>
      <x:c r="L13" s="47" t="str">
        <x:v>Yes</x:v>
      </x:c>
      <x:c r="M13" s="47" t="str">
        <x:v>Yes</x:v>
      </x:c>
      <x:c r="N13" s="47" t="str">
        <x:v>Yes</x:v>
      </x:c>
      <x:c r="O13" s="47" t="str">
        <x:v>V-JEPA; V-JEPA 2</x:v>
      </x:c>
      <x:c r="P13" s="47" t="str">
        <x:v>V-JEPA 2-AC</x:v>
      </x:c>
      <x:c r="Q13" s="47" t="str">
        <x:v>High</x:v>
      </x:c>
      <x:c r="R13" s="47" t="str">
        <x:v>Core latent-predictive bridge</x:v>
      </x:c>
      <x:c r="S13" s="47" t="str">
        <x:v>https://arxiv.org/abs/2506.09985</x:v>
      </x:c>
      <x:c r="T13" s="47" t="str">
        <x:v>https://arxiv.org/abs/2506.09985</x:v>
      </x:c>
      <x:c r="U13" s="47" t="str">
        <x:v>https://arxiv.org/abs/2506.09985</x:v>
      </x:c>
      <x:c r="V13" s="47" t="str">
        <x:v>P003</x:v>
      </x:c>
      <x:c r="W13" s="50" t="n">
        <x:v>563</x:v>
      </x:c>
      <x:c r="X13" s="47" t="str">
        <x:v>P004</x:v>
      </x:c>
      <x:c r="Y13" s="50" t="n">
        <x:v>693</x:v>
      </x:c>
      <x:c r="Z13" s="51" t="n">
        <x:f>IF(OR(N13&lt;&gt;"Yes",AA13&lt;&gt;"Both selected papers covered"),"",SQRT((W13+1)*(Y13+1))*IF(Q13="High",1,0.8))</x:f>
        <x:v>625.6324799752647</x:v>
      </x:c>
      <x:c r="AA13" s="47" t="str">
        <x:f>IF(AND(V13&lt;&gt;"",ISNUMBER(W13),X13&lt;&gt;"",ISNUMBER(Y13),COUNTIF('Papers'!$C$2:$C$56,V13)&gt;0,COUNTIF('Papers'!$C$2:$C$56,X13)&gt;0),"Both selected papers covered","Partial / missing selected-paper coverage")</x:f>
        <x:v>Both selected papers covered</x:v>
      </x:c>
      <x:c r="AB13" s="52" t="str">
        <x:v>2026-09-02</x:v>
      </x:c>
    </x:row>
    <x:row r="14">
      <x:c r="A14" s="50" t="n">
        <x:v>13</x:v>
      </x:c>
      <x:c r="B14" s="47" t="str">
        <x:v>R010</x:v>
      </x:c>
      <x:c r="C14" s="47" t="str">
        <x:v>Mahmoud Assran</x:v>
      </x:c>
      <x:c r="D14" s="47" t="str">
        <x:v>Mixed</x:v>
      </x:c>
      <x:c r="E14" s="47" t="str">
        <x:v>Meta FAIR</x:v>
      </x:c>
      <x:c r="F14" s="47" t="str">
        <x:v>U3</x:v>
      </x:c>
      <x:c r="G14" s="47" t="str">
        <x:v>Planning</x:v>
      </x:c>
      <x:c r="H14" s="47" t="str">
        <x:v>Bridger</x:v>
      </x:c>
      <x:c r="I14" s="50" t="n">
        <x:v>0</x:v>
      </x:c>
      <x:c r="J14" s="50" t="n">
        <x:v>3</x:v>
      </x:c>
      <x:c r="K14" s="50" t="n">
        <x:v>3</x:v>
      </x:c>
      <x:c r="L14" s="47" t="str">
        <x:v>Yes</x:v>
      </x:c>
      <x:c r="M14" s="47" t="str">
        <x:v>Yes</x:v>
      </x:c>
      <x:c r="N14" s="47" t="str">
        <x:v>Yes</x:v>
      </x:c>
      <x:c r="O14" s="47" t="str">
        <x:v>V-JEPA; V-JEPA 2</x:v>
      </x:c>
      <x:c r="P14" s="47" t="str">
        <x:v>V-JEPA 2-AC</x:v>
      </x:c>
      <x:c r="Q14" s="47" t="str">
        <x:v>High</x:v>
      </x:c>
      <x:c r="R14" s="47" t="str">
        <x:v>Key example of latent prediction, not pixel generation</x:v>
      </x:c>
      <x:c r="S14" s="47" t="str">
        <x:v>https://arxiv.org/abs/2506.09985</x:v>
      </x:c>
      <x:c r="T14" s="47" t="str">
        <x:v>https://arxiv.org/abs/2506.09985</x:v>
      </x:c>
      <x:c r="U14" s="47" t="str">
        <x:v>https://arxiv.org/abs/2506.09985</x:v>
      </x:c>
      <x:c r="V14" s="47" t="str">
        <x:v>P003</x:v>
      </x:c>
      <x:c r="W14" s="50" t="n">
        <x:v>563</x:v>
      </x:c>
      <x:c r="X14" s="47" t="str">
        <x:v>P004</x:v>
      </x:c>
      <x:c r="Y14" s="50" t="n">
        <x:v>693</x:v>
      </x:c>
      <x:c r="Z14" s="51" t="n">
        <x:f>IF(OR(N14&lt;&gt;"Yes",AA14&lt;&gt;"Both selected papers covered"),"",SQRT((W14+1)*(Y14+1))*IF(Q14="High",1,0.8))</x:f>
        <x:v>625.6324799752647</x:v>
      </x:c>
      <x:c r="AA14" s="47" t="str">
        <x:f>IF(AND(V14&lt;&gt;"",ISNUMBER(W14),X14&lt;&gt;"",ISNUMBER(Y14),COUNTIF('Papers'!$C$2:$C$56,V14)&gt;0,COUNTIF('Papers'!$C$2:$C$56,X14)&gt;0),"Both selected papers covered","Partial / missing selected-paper coverage")</x:f>
        <x:v>Both selected papers covered</x:v>
      </x:c>
      <x:c r="AB14" s="52" t="str">
        <x:v>2026-09-02</x:v>
      </x:c>
    </x:row>
    <x:row r="15">
      <x:c r="A15" s="50" t="n">
        <x:v>14</x:v>
      </x:c>
      <x:c r="B15" s="47" t="str">
        <x:v>R014</x:v>
      </x:c>
      <x:c r="C15" s="47" t="str">
        <x:v>Nicolas Ballas</x:v>
      </x:c>
      <x:c r="D15" s="47" t="str">
        <x:v>Europe</x:v>
      </x:c>
      <x:c r="E15" s="47" t="str">
        <x:v>Meta FAIR Paris</x:v>
      </x:c>
      <x:c r="F15" s="47" t="str">
        <x:v>U3</x:v>
      </x:c>
      <x:c r="G15" s="47" t="str">
        <x:v>Planning</x:v>
      </x:c>
      <x:c r="H15" s="47" t="str">
        <x:v>Bridger</x:v>
      </x:c>
      <x:c r="I15" s="50" t="n">
        <x:v>0</x:v>
      </x:c>
      <x:c r="J15" s="50" t="n">
        <x:v>3</x:v>
      </x:c>
      <x:c r="K15" s="50" t="n">
        <x:v>3</x:v>
      </x:c>
      <x:c r="L15" s="47" t="str">
        <x:v>Yes</x:v>
      </x:c>
      <x:c r="M15" s="47" t="str">
        <x:v>Yes</x:v>
      </x:c>
      <x:c r="N15" s="47" t="str">
        <x:v>Yes</x:v>
      </x:c>
      <x:c r="O15" s="47" t="str">
        <x:v>V-JEPA; V-JEPA 2</x:v>
      </x:c>
      <x:c r="P15" s="47" t="str">
        <x:v>V-JEPA 2-AC</x:v>
      </x:c>
      <x:c r="Q15" s="47" t="str">
        <x:v>High</x:v>
      </x:c>
      <x:c r="R15" s="47" t="str">
        <x:v>Senior/core V-JEPA contributor</x:v>
      </x:c>
      <x:c r="S15" s="47" t="str">
        <x:v>https://arxiv.org/abs/2506.09985</x:v>
      </x:c>
      <x:c r="T15" s="47" t="str">
        <x:v>https://arxiv.org/abs/2506.09985</x:v>
      </x:c>
      <x:c r="U15" s="47" t="str">
        <x:v>https://arxiv.org/abs/2506.09985</x:v>
      </x:c>
      <x:c r="V15" s="47" t="str">
        <x:v>P003</x:v>
      </x:c>
      <x:c r="W15" s="50" t="n">
        <x:v>563</x:v>
      </x:c>
      <x:c r="X15" s="47" t="str">
        <x:v>P004</x:v>
      </x:c>
      <x:c r="Y15" s="50" t="n">
        <x:v>693</x:v>
      </x:c>
      <x:c r="Z15" s="51" t="n">
        <x:f>IF(OR(N15&lt;&gt;"Yes",AA15&lt;&gt;"Both selected papers covered"),"",SQRT((W15+1)*(Y15+1))*IF(Q15="High",1,0.8))</x:f>
        <x:v>625.6324799752647</x:v>
      </x:c>
      <x:c r="AA15" s="47" t="str">
        <x:f>IF(AND(V15&lt;&gt;"",ISNUMBER(W15),X15&lt;&gt;"",ISNUMBER(Y15),COUNTIF('Papers'!$C$2:$C$56,V15)&gt;0,COUNTIF('Papers'!$C$2:$C$56,X15)&gt;0),"Both selected papers covered","Partial / missing selected-paper coverage")</x:f>
        <x:v>Both selected papers covered</x:v>
      </x:c>
      <x:c r="AB15" s="52" t="str">
        <x:v>2026-09-02</x:v>
      </x:c>
    </x:row>
    <x:row r="16">
      <x:c r="A16" s="50" t="n">
        <x:v>15</x:v>
      </x:c>
      <x:c r="B16" s="47" t="str">
        <x:v>R013</x:v>
      </x:c>
      <x:c r="C16" s="47" t="str">
        <x:v>Quentin Garrido</x:v>
      </x:c>
      <x:c r="D16" s="47" t="str">
        <x:v>Europe</x:v>
      </x:c>
      <x:c r="E16" s="47" t="str">
        <x:v>Meta FAIR Paris</x:v>
      </x:c>
      <x:c r="F16" s="47" t="str">
        <x:v>U3</x:v>
      </x:c>
      <x:c r="G16" s="47" t="str">
        <x:v>Planning</x:v>
      </x:c>
      <x:c r="H16" s="47" t="str">
        <x:v>Bridger</x:v>
      </x:c>
      <x:c r="I16" s="50" t="n">
        <x:v>0</x:v>
      </x:c>
      <x:c r="J16" s="50" t="n">
        <x:v>3</x:v>
      </x:c>
      <x:c r="K16" s="50" t="n">
        <x:v>3</x:v>
      </x:c>
      <x:c r="L16" s="47" t="str">
        <x:v>Yes</x:v>
      </x:c>
      <x:c r="M16" s="47" t="str">
        <x:v>Yes</x:v>
      </x:c>
      <x:c r="N16" s="47" t="str">
        <x:v>Yes</x:v>
      </x:c>
      <x:c r="O16" s="47" t="str">
        <x:v>V-JEPA; V-JEPA 2</x:v>
      </x:c>
      <x:c r="P16" s="47" t="str">
        <x:v>V-JEPA 2-AC</x:v>
      </x:c>
      <x:c r="Q16" s="47" t="str">
        <x:v>High</x:v>
      </x:c>
      <x:c r="R16" s="47" t="str">
        <x:v>Core latent-predictive bridge</x:v>
      </x:c>
      <x:c r="S16" s="47" t="str">
        <x:v>https://arxiv.org/abs/2506.09985</x:v>
      </x:c>
      <x:c r="T16" s="47" t="str">
        <x:v>https://arxiv.org/abs/2506.09985</x:v>
      </x:c>
      <x:c r="U16" s="47" t="str">
        <x:v>https://arxiv.org/abs/2506.09985</x:v>
      </x:c>
      <x:c r="V16" s="47" t="str">
        <x:v>P003</x:v>
      </x:c>
      <x:c r="W16" s="50" t="n">
        <x:v>563</x:v>
      </x:c>
      <x:c r="X16" s="47" t="str">
        <x:v>P004</x:v>
      </x:c>
      <x:c r="Y16" s="50" t="n">
        <x:v>693</x:v>
      </x:c>
      <x:c r="Z16" s="51" t="n">
        <x:f>IF(OR(N16&lt;&gt;"Yes",AA16&lt;&gt;"Both selected papers covered"),"",SQRT((W16+1)*(Y16+1))*IF(Q16="High",1,0.8))</x:f>
        <x:v>625.6324799752647</x:v>
      </x:c>
      <x:c r="AA16" s="47" t="str">
        <x:f>IF(AND(V16&lt;&gt;"",ISNUMBER(W16),X16&lt;&gt;"",ISNUMBER(Y16),COUNTIF('Papers'!$C$2:$C$56,V16)&gt;0,COUNTIF('Papers'!$C$2:$C$56,X16)&gt;0),"Both selected papers covered","Partial / missing selected-paper coverage")</x:f>
        <x:v>Both selected papers covered</x:v>
      </x:c>
      <x:c r="AB16" s="52" t="str">
        <x:v>2026-09-02</x:v>
      </x:c>
    </x:row>
    <x:row r="17">
      <x:c r="A17" s="50" t="n">
        <x:v>16</x:v>
      </x:c>
      <x:c r="B17" s="47" t="str">
        <x:v>R017</x:v>
      </x:c>
      <x:c r="C17" s="47" t="str">
        <x:v>Yann LeCun</x:v>
      </x:c>
      <x:c r="D17" s="47" t="str">
        <x:v>Mixed</x:v>
      </x:c>
      <x:c r="E17" s="47" t="str">
        <x:v>Meta / NYU / FAIR Paris</x:v>
      </x:c>
      <x:c r="F17" s="47" t="str">
        <x:v>U3</x:v>
      </x:c>
      <x:c r="G17" s="47" t="str">
        <x:v>Planning</x:v>
      </x:c>
      <x:c r="H17" s="47" t="str">
        <x:v>Bridger</x:v>
      </x:c>
      <x:c r="I17" s="50" t="n">
        <x:v>0</x:v>
      </x:c>
      <x:c r="J17" s="50" t="n">
        <x:v>3</x:v>
      </x:c>
      <x:c r="K17" s="50" t="n">
        <x:v>2</x:v>
      </x:c>
      <x:c r="L17" s="47" t="str">
        <x:v>Yes</x:v>
      </x:c>
      <x:c r="M17" s="47" t="str">
        <x:v>Yes</x:v>
      </x:c>
      <x:c r="N17" s="47" t="str">
        <x:v>Yes</x:v>
      </x:c>
      <x:c r="O17" s="47" t="str">
        <x:v>I-JEPA; V-JEPA</x:v>
      </x:c>
      <x:c r="P17" s="47" t="str">
        <x:v>V-JEPA 2</x:v>
      </x:c>
      <x:c r="Q17" s="47" t="str">
        <x:v>High</x:v>
      </x:c>
      <x:c r="R17" s="47" t="str">
        <x:v>Architecturally important latent-world-model lineage</x:v>
      </x:c>
      <x:c r="S17" s="47" t="str">
        <x:v>https://ai.meta.com/people/yann-lecun/</x:v>
      </x:c>
      <x:c r="T17" s="47" t="str">
        <x:v>https://arxiv.org/abs/2404.08471</x:v>
      </x:c>
      <x:c r="U17" s="47" t="str">
        <x:v>https://arxiv.org/abs/2506.09985</x:v>
      </x:c>
      <x:c r="V17" s="47" t="str">
        <x:v>P003</x:v>
      </x:c>
      <x:c r="W17" s="50" t="n">
        <x:v>563</x:v>
      </x:c>
      <x:c r="X17" s="47" t="str">
        <x:v>P004</x:v>
      </x:c>
      <x:c r="Y17" s="50" t="n">
        <x:v>693</x:v>
      </x:c>
      <x:c r="Z17" s="51" t="n">
        <x:f>IF(OR(N17&lt;&gt;"Yes",AA17&lt;&gt;"Both selected papers covered"),"",SQRT((W17+1)*(Y17+1))*IF(Q17="High",1,0.8))</x:f>
        <x:v>625.6324799752647</x:v>
      </x:c>
      <x:c r="AA17" s="47" t="str">
        <x:f>IF(AND(V17&lt;&gt;"",ISNUMBER(W17),X17&lt;&gt;"",ISNUMBER(Y17),COUNTIF('Papers'!$C$2:$C$56,V17)&gt;0,COUNTIF('Papers'!$C$2:$C$56,X17)&gt;0),"Both selected papers covered","Partial / missing selected-paper coverage")</x:f>
        <x:v>Both selected papers covered</x:v>
      </x:c>
      <x:c r="AB17" s="52" t="str">
        <x:v>2026-09-02</x:v>
      </x:c>
    </x:row>
    <x:row r="18">
      <x:c r="A18" s="50" t="n">
        <x:v>17</x:v>
      </x:c>
      <x:c r="B18" s="47" t="str">
        <x:v>R001</x:v>
      </x:c>
      <x:c r="C18" s="47" t="str">
        <x:v>Agrim Gupta</x:v>
      </x:c>
      <x:c r="D18" s="47" t="str">
        <x:v>US</x:v>
      </x:c>
      <x:c r="E18" s="47" t="str">
        <x:v>Stanford / Google DeepMind</x:v>
      </x:c>
      <x:c r="F18" s="47" t="str">
        <x:v>G1</x:v>
      </x:c>
      <x:c r="G18" s="47" t="str">
        <x:v>Direct policy</x:v>
      </x:c>
      <x:c r="H18" s="47" t="str">
        <x:v>Bridger</x:v>
      </x:c>
      <x:c r="I18" s="50" t="n">
        <x:v>3</x:v>
      </x:c>
      <x:c r="J18" s="50" t="n">
        <x:v>2</x:v>
      </x:c>
      <x:c r="K18" s="50" t="n">
        <x:v>3</x:v>
      </x:c>
      <x:c r="L18" s="47" t="str">
        <x:v>Yes</x:v>
      </x:c>
      <x:c r="M18" s="47" t="str">
        <x:v>Yes</x:v>
      </x:c>
      <x:c r="N18" s="47" t="str">
        <x:v>Yes</x:v>
      </x:c>
      <x:c r="O18" s="47" t="str">
        <x:v>WALT</x:v>
      </x:c>
      <x:c r="P18" s="47" t="str">
        <x:v>VIMA; RoboCat; Gemini Robotics 1.5</x:v>
      </x:c>
      <x:c r="Q18" s="47" t="str">
        <x:v>High</x:v>
      </x:c>
      <x:c r="R18" s="47" t="str">
        <x:v>Canonical generation→robotics bridge</x:v>
      </x:c>
      <x:c r="S18" s="47" t="str">
        <x:v>https://web.stanford.edu/~agrim/</x:v>
      </x:c>
      <x:c r="T18" s="47" t="str">
        <x:v>https://arxiv.org/abs/2312.06662</x:v>
      </x:c>
      <x:c r="U18" s="47" t="str">
        <x:v>https://openreview.net/forum?id=oU2DzdTI94</x:v>
      </x:c>
      <x:c r="V18" s="47" t="str">
        <x:v>P001</x:v>
      </x:c>
      <x:c r="W18" s="50" t="n">
        <x:v>391</x:v>
      </x:c>
      <x:c r="X18" s="47" t="str">
        <x:v>P019</x:v>
      </x:c>
      <x:c r="Y18" s="50" t="n">
        <x:v>834</x:v>
      </x:c>
      <x:c r="Z18" s="51" t="n">
        <x:f>IF(OR(N18&lt;&gt;"Yes",AA18&lt;&gt;"Both selected papers covered"),"",SQRT((W18+1)*(Y18+1))*IF(Q18="High",1,0.8))</x:f>
        <x:v>572.1188687676714</x:v>
      </x:c>
      <x:c r="AA18" s="47" t="str">
        <x:f>IF(AND(V18&lt;&gt;"",ISNUMBER(W18),X18&lt;&gt;"",ISNUMBER(Y18),COUNTIF('Papers'!$C$2:$C$56,V18)&gt;0,COUNTIF('Papers'!$C$2:$C$56,X18)&gt;0),"Both selected papers covered","Partial / missing selected-paper coverage")</x:f>
        <x:v>Both selected papers covered</x:v>
      </x:c>
      <x:c r="AB18" s="52" t="str">
        <x:v>2026-09-02</x:v>
      </x:c>
    </x:row>
    <x:row r="19">
      <x:c r="A19" s="50" t="n">
        <x:v>18</x:v>
      </x:c>
      <x:c r="B19" s="47" t="str">
        <x:v>R057</x:v>
      </x:c>
      <x:c r="C19" s="47" t="str">
        <x:v>Fei-Fei Li</x:v>
      </x:c>
      <x:c r="D19" s="47" t="str">
        <x:v>US</x:v>
      </x:c>
      <x:c r="E19" s="47" t="str">
        <x:v>Stanford</x:v>
      </x:c>
      <x:c r="F19" s="47" t="str">
        <x:v>U1</x:v>
      </x:c>
      <x:c r="G19" s="47" t="str">
        <x:v>Direct policy</x:v>
      </x:c>
      <x:c r="H19" s="47" t="str">
        <x:v>Bridger</x:v>
      </x:c>
      <x:c r="I19" s="50" t="n">
        <x:v>1</x:v>
      </x:c>
      <x:c r="J19" s="50" t="n">
        <x:v>3</x:v>
      </x:c>
      <x:c r="K19" s="50" t="n">
        <x:v>3</x:v>
      </x:c>
      <x:c r="L19" s="47" t="str">
        <x:v>Yes</x:v>
      </x:c>
      <x:c r="M19" s="47" t="str">
        <x:v>Yes</x:v>
      </x:c>
      <x:c r="N19" s="47" t="str">
        <x:v>Yes</x:v>
      </x:c>
      <x:c r="O19" s="47" t="str">
        <x:v>Video/vision representation</x:v>
      </x:c>
      <x:c r="P19" s="47" t="str">
        <x:v>VIMA; Dream2Flow</x:v>
      </x:c>
      <x:c r="Q19" s="47" t="str">
        <x:v>High</x:v>
      </x:c>
      <x:c r="R19" s="47" t="str">
        <x:v>Senior bridge across vision, video and robotics</x:v>
      </x:c>
      <x:c r="S19" s="47" t="str">
        <x:v>https://profiles.stanford.edu/fei-fei-li</x:v>
      </x:c>
      <x:c r="T19" s="47" t="str">
        <x:v>https://arxiv.org/abs/2312.06662</x:v>
      </x:c>
      <x:c r="U19" s="47" t="str">
        <x:v>https://openreview.net/forum?id=oU2DzdTI94</x:v>
      </x:c>
      <x:c r="V19" s="47" t="str">
        <x:v>P001</x:v>
      </x:c>
      <x:c r="W19" s="50" t="n">
        <x:v>391</x:v>
      </x:c>
      <x:c r="X19" s="47" t="str">
        <x:v>P019</x:v>
      </x:c>
      <x:c r="Y19" s="50" t="n">
        <x:v>834</x:v>
      </x:c>
      <x:c r="Z19" s="51" t="n">
        <x:f>IF(OR(N19&lt;&gt;"Yes",AA19&lt;&gt;"Both selected papers covered"),"",SQRT((W19+1)*(Y19+1))*IF(Q19="High",1,0.8))</x:f>
        <x:v>572.1188687676714</x:v>
      </x:c>
      <x:c r="AA19" s="47" t="str">
        <x:f>IF(AND(V19&lt;&gt;"",ISNUMBER(W19),X19&lt;&gt;"",ISNUMBER(Y19),COUNTIF('Papers'!$C$2:$C$56,V19)&gt;0,COUNTIF('Papers'!$C$2:$C$56,X19)&gt;0),"Both selected papers covered","Partial / missing selected-paper coverage")</x:f>
        <x:v>Both selected papers covered</x:v>
      </x:c>
      <x:c r="AB19" s="52" t="str">
        <x:v>2026-09-02</x:v>
      </x:c>
    </x:row>
    <x:row r="20">
      <x:c r="A20" s="50" t="n">
        <x:v>19</x:v>
      </x:c>
      <x:c r="B20" s="47" t="str">
        <x:v>R009</x:v>
      </x:c>
      <x:c r="C20" s="47" t="str">
        <x:v>Tim Rocktäschel</x:v>
      </x:c>
      <x:c r="D20" s="47" t="str">
        <x:v>Europe</x:v>
      </x:c>
      <x:c r="E20" s="47" t="str">
        <x:v>UCL / DeepMind</x:v>
      </x:c>
      <x:c r="F20" s="47" t="str">
        <x:v>VL</x:v>
      </x:c>
      <x:c r="G20" s="47" t="str">
        <x:v>Reward / affordance</x:v>
      </x:c>
      <x:c r="H20" s="47" t="str">
        <x:v>Bridger</x:v>
      </x:c>
      <x:c r="I20" s="50" t="n">
        <x:v>1</x:v>
      </x:c>
      <x:c r="J20" s="50" t="n">
        <x:v>3</x:v>
      </x:c>
      <x:c r="K20" s="50" t="n">
        <x:v>3</x:v>
      </x:c>
      <x:c r="L20" s="47" t="str">
        <x:v>Yes</x:v>
      </x:c>
      <x:c r="M20" s="47" t="str">
        <x:v>Yes</x:v>
      </x:c>
      <x:c r="N20" s="47" t="str">
        <x:v>Yes</x:v>
      </x:c>
      <x:c r="O20" s="47" t="str">
        <x:v>Video-language representation work</x:v>
      </x:c>
      <x:c r="P20" s="47" t="str">
        <x:v>MineDojo</x:v>
      </x:c>
      <x:c r="Q20" s="47" t="str">
        <x:v>High</x:v>
      </x:c>
      <x:c r="R20" s="47" t="str">
        <x:v>Language-video knowledge used for open-ended agents</x:v>
      </x:c>
      <x:c r="S20" s="47" t="str">
        <x:v>https://rockt.ai/</x:v>
      </x:c>
      <x:c r="T20" s="47" t="str">
        <x:v>https://arxiv.org/abs/2206.08853</x:v>
      </x:c>
      <x:c r="U20" s="47" t="str">
        <x:v>https://arxiv.org/abs/2206.08853</x:v>
      </x:c>
      <x:c r="V20" s="47" t="str">
        <x:v>P024</x:v>
      </x:c>
      <x:c r="W20" s="50" t="n">
        <x:v>544</x:v>
      </x:c>
      <x:c r="X20" s="47" t="str">
        <x:v>P024</x:v>
      </x:c>
      <x:c r="Y20" s="50" t="n">
        <x:v>544</x:v>
      </x:c>
      <x:c r="Z20" s="51" t="n">
        <x:f>IF(OR(N20&lt;&gt;"Yes",AA20&lt;&gt;"Both selected papers covered"),"",SQRT((W20+1)*(Y20+1))*IF(Q20="High",1,0.8))</x:f>
        <x:v>545</x:v>
      </x:c>
      <x:c r="AA20" s="47" t="str">
        <x:f>IF(AND(V20&lt;&gt;"",ISNUMBER(W20),X20&lt;&gt;"",ISNUMBER(Y20),COUNTIF('Papers'!$C$2:$C$56,V20)&gt;0,COUNTIF('Papers'!$C$2:$C$56,X20)&gt;0),"Both selected papers covered","Partial / missing selected-paper coverage")</x:f>
        <x:v>Both selected papers covered</x:v>
      </x:c>
      <x:c r="AB20" s="52" t="str">
        <x:v>2026-09-02</x:v>
      </x:c>
    </x:row>
    <x:row r="21">
      <x:c r="A21" s="50" t="n">
        <x:v>20</x:v>
      </x:c>
      <x:c r="B21" s="47" t="str">
        <x:v>R008</x:v>
      </x:c>
      <x:c r="C21" s="47" t="str">
        <x:v>Yusuf Aytar</x:v>
      </x:c>
      <x:c r="D21" s="47" t="str">
        <x:v>Europe</x:v>
      </x:c>
      <x:c r="E21" s="47" t="str">
        <x:v>Google DeepMind London</x:v>
      </x:c>
      <x:c r="F21" s="47" t="str">
        <x:v>U2</x:v>
      </x:c>
      <x:c r="G21" s="47" t="str">
        <x:v>Reward / affordance</x:v>
      </x:c>
      <x:c r="H21" s="47" t="str">
        <x:v>Bridger</x:v>
      </x:c>
      <x:c r="I21" s="50" t="n">
        <x:v>1</x:v>
      </x:c>
      <x:c r="J21" s="50" t="n">
        <x:v>3</x:v>
      </x:c>
      <x:c r="K21" s="50" t="n">
        <x:v>3</x:v>
      </x:c>
      <x:c r="L21" s="47" t="str">
        <x:v>Yes</x:v>
      </x:c>
      <x:c r="M21" s="47" t="str">
        <x:v>Yes</x:v>
      </x:c>
      <x:c r="N21" s="47" t="str">
        <x:v>Yes</x:v>
      </x:c>
      <x:c r="O21" s="47" t="str">
        <x:v>Video representation learning</x:v>
      </x:c>
      <x:c r="P21" s="47" t="str">
        <x:v>MineDojo / embodied agents</x:v>
      </x:c>
      <x:c r="Q21" s="47" t="str">
        <x:v>High</x:v>
      </x:c>
      <x:c r="R21" s="47" t="str">
        <x:v>Video-language/representation as reward and control signal</x:v>
      </x:c>
      <x:c r="S21" s="47" t="str">
        <x:v>https://scholar.google.com/citations?user=7uZbwhsAAAAJ</x:v>
      </x:c>
      <x:c r="T21" s="47" t="str">
        <x:v>https://arxiv.org/abs/1703.07464</x:v>
      </x:c>
      <x:c r="U21" s="47" t="str">
        <x:v>https://arxiv.org/abs/2206.08853</x:v>
      </x:c>
      <x:c r="V21" s="47" t="str">
        <x:v>P024</x:v>
      </x:c>
      <x:c r="W21" s="50" t="n">
        <x:v>544</x:v>
      </x:c>
      <x:c r="X21" s="47" t="str">
        <x:v>P024</x:v>
      </x:c>
      <x:c r="Y21" s="50" t="n">
        <x:v>544</x:v>
      </x:c>
      <x:c r="Z21" s="51" t="n">
        <x:f>IF(OR(N21&lt;&gt;"Yes",AA21&lt;&gt;"Both selected papers covered"),"",SQRT((W21+1)*(Y21+1))*IF(Q21="High",1,0.8))</x:f>
        <x:v>545</x:v>
      </x:c>
      <x:c r="AA21" s="47" t="str">
        <x:f>IF(AND(V21&lt;&gt;"",ISNUMBER(W21),X21&lt;&gt;"",ISNUMBER(Y21),COUNTIF('Papers'!$C$2:$C$56,V21)&gt;0,COUNTIF('Papers'!$C$2:$C$56,X21)&gt;0),"Both selected papers covered","Partial / missing selected-paper coverage")</x:f>
        <x:v>Both selected papers covered</x:v>
      </x:c>
      <x:c r="AB21" s="52" t="str">
        <x:v>2026-09-02</x:v>
      </x:c>
    </x:row>
    <x:row r="22">
      <x:c r="A22" s="50" t="n">
        <x:v>21</x:v>
      </x:c>
      <x:c r="B22" s="47" t="str">
        <x:v>R034</x:v>
      </x:c>
      <x:c r="C22" s="47" t="str">
        <x:v>Sudeep Dasari</x:v>
      </x:c>
      <x:c r="D22" s="47" t="str">
        <x:v>US</x:v>
      </x:c>
      <x:c r="E22" s="47" t="str">
        <x:v>Carnegie Mellon / UC Berkeley</x:v>
      </x:c>
      <x:c r="F22" s="47" t="str">
        <x:v>U2</x:v>
      </x:c>
      <x:c r="G22" s="47" t="str">
        <x:v>Direct policy</x:v>
      </x:c>
      <x:c r="H22" s="47" t="str">
        <x:v>Bridger</x:v>
      </x:c>
      <x:c r="I22" s="50" t="n">
        <x:v>1</x:v>
      </x:c>
      <x:c r="J22" s="50" t="n">
        <x:v>3</x:v>
      </x:c>
      <x:c r="K22" s="50" t="n">
        <x:v>3</x:v>
      </x:c>
      <x:c r="L22" s="47" t="str">
        <x:v>Yes</x:v>
      </x:c>
      <x:c r="M22" s="47" t="str">
        <x:v>Yes</x:v>
      </x:c>
      <x:c r="N22" s="47" t="str">
        <x:v>Yes</x:v>
      </x:c>
      <x:c r="O22" s="47" t="str">
        <x:v>Robot learning from video</x:v>
      </x:c>
      <x:c r="P22" s="47" t="str">
        <x:v>RoboNet; one-shot imitation</x:v>
      </x:c>
      <x:c r="Q22" s="47" t="str">
        <x:v>High</x:v>
      </x:c>
      <x:c r="R22" s="47" t="str">
        <x:v>Video-data scale and imitation bridge</x:v>
      </x:c>
      <x:c r="S22" s="47" t="str">
        <x:v>https://sudeepdasari.github.io/</x:v>
      </x:c>
      <x:c r="T22" s="47" t="str">
        <x:v>https://arxiv.org/abs/1910.11215</x:v>
      </x:c>
      <x:c r="U22" s="47" t="str">
        <x:v>https://arxiv.org/abs/1910.11215</x:v>
      </x:c>
      <x:c r="V22" s="47" t="str">
        <x:v>P037</x:v>
      </x:c>
      <x:c r="W22" s="50" t="n">
        <x:v>444</x:v>
      </x:c>
      <x:c r="X22" s="47" t="str">
        <x:v>P037</x:v>
      </x:c>
      <x:c r="Y22" s="50" t="n">
        <x:v>444</x:v>
      </x:c>
      <x:c r="Z22" s="51" t="n">
        <x:f>IF(OR(N22&lt;&gt;"Yes",AA22&lt;&gt;"Both selected papers covered"),"",SQRT((W22+1)*(Y22+1))*IF(Q22="High",1,0.8))</x:f>
        <x:v>445</x:v>
      </x:c>
      <x:c r="AA22" s="47" t="str">
        <x:f>IF(AND(V22&lt;&gt;"",ISNUMBER(W22),X22&lt;&gt;"",ISNUMBER(Y22),COUNTIF('Papers'!$C$2:$C$56,V22)&gt;0,COUNTIF('Papers'!$C$2:$C$56,X22)&gt;0),"Both selected papers covered","Partial / missing selected-paper coverage")</x:f>
        <x:v>Both selected papers covered</x:v>
      </x:c>
      <x:c r="AB22" s="52" t="str">
        <x:v>2026-09-02</x:v>
      </x:c>
    </x:row>
    <x:row r="23">
      <x:c r="A23" s="50" t="n">
        <x:v>22</x:v>
      </x:c>
      <x:c r="B23" s="47" t="str">
        <x:v>R020</x:v>
      </x:c>
      <x:c r="C23" s="47" t="str">
        <x:v>Jinwei Gu</x:v>
      </x:c>
      <x:c r="D23" s="47" t="str">
        <x:v>US</x:v>
      </x:c>
      <x:c r="E23" s="47" t="str">
        <x:v>NVIDIA / Stanford</x:v>
      </x:c>
      <x:c r="F23" s="47" t="str">
        <x:v>G2</x:v>
      </x:c>
      <x:c r="G23" s="47" t="str">
        <x:v>Direct policy</x:v>
      </x:c>
      <x:c r="H23" s="47" t="str">
        <x:v>Bridger</x:v>
      </x:c>
      <x:c r="I23" s="50" t="n">
        <x:v>3</x:v>
      </x:c>
      <x:c r="J23" s="50" t="n">
        <x:v>1</x:v>
      </x:c>
      <x:c r="K23" s="50" t="n">
        <x:v>3</x:v>
      </x:c>
      <x:c r="L23" s="47" t="str">
        <x:v>Yes</x:v>
      </x:c>
      <x:c r="M23" s="47" t="str">
        <x:v>Yes</x:v>
      </x:c>
      <x:c r="N23" s="47" t="str">
        <x:v>Yes</x:v>
      </x:c>
      <x:c r="O23" s="47" t="str">
        <x:v>Cosmos-Predict</x:v>
      </x:c>
      <x:c r="P23" s="47" t="str">
        <x:v>Cosmos Policy</x:v>
      </x:c>
      <x:c r="Q23" s="47" t="str">
        <x:v>High</x:v>
      </x:c>
      <x:c r="R23" s="47" t="str">
        <x:v>Video diffusion model post-trained directly into robot policy</x:v>
      </x:c>
      <x:c r="S23" s="47" t="str">
        <x:v>https://www.gujinwei.org/</x:v>
      </x:c>
      <x:c r="T23" s="47" t="str">
        <x:v>https://arxiv.org/abs/2501.03575</x:v>
      </x:c>
      <x:c r="U23" s="47" t="str">
        <x:v>https://arxiv.org/abs/2601.16163</x:v>
      </x:c>
      <x:c r="V23" s="47" t="str">
        <x:v>P016</x:v>
      </x:c>
      <x:c r="W23" s="50" t="n">
        <x:v>740</x:v>
      </x:c>
      <x:c r="X23" s="47" t="str">
        <x:v>P017</x:v>
      </x:c>
      <x:c r="Y23" s="50" t="n">
        <x:v>193</x:v>
      </x:c>
      <x:c r="Z23" s="51" t="n">
        <x:f>IF(OR(N23&lt;&gt;"Yes",AA23&lt;&gt;"Both selected papers covered"),"",SQRT((W23+1)*(Y23+1))*IF(Q23="High",1,0.8))</x:f>
        <x:v>379.1490472096692</x:v>
      </x:c>
      <x:c r="AA23" s="47" t="str">
        <x:f>IF(AND(V23&lt;&gt;"",ISNUMBER(W23),X23&lt;&gt;"",ISNUMBER(Y23),COUNTIF('Papers'!$C$2:$C$56,V23)&gt;0,COUNTIF('Papers'!$C$2:$C$56,X23)&gt;0),"Both selected papers covered","Partial / missing selected-paper coverage")</x:f>
        <x:v>Both selected papers covered</x:v>
      </x:c>
      <x:c r="AB23" s="52" t="str">
        <x:v>2026-09-02</x:v>
      </x:c>
    </x:row>
    <x:row r="24">
      <x:c r="A24" s="50" t="n">
        <x:v>23</x:v>
      </x:c>
      <x:c r="B24" s="47" t="str">
        <x:v>R033</x:v>
      </x:c>
      <x:c r="C24" s="47" t="str">
        <x:v>Yilun Du</x:v>
      </x:c>
      <x:c r="D24" s="47" t="str">
        <x:v>US</x:v>
      </x:c>
      <x:c r="E24" s="47" t="str">
        <x:v>Harvard / MIT lineage</x:v>
      </x:c>
      <x:c r="F24" s="47" t="str">
        <x:v>G2</x:v>
      </x:c>
      <x:c r="G24" s="47" t="str">
        <x:v>Planning</x:v>
      </x:c>
      <x:c r="H24" s="47" t="str">
        <x:v>Bridger</x:v>
      </x:c>
      <x:c r="I24" s="50" t="n">
        <x:v>3</x:v>
      </x:c>
      <x:c r="J24" s="50" t="n">
        <x:v>2</x:v>
      </x:c>
      <x:c r="K24" s="50" t="n">
        <x:v>3</x:v>
      </x:c>
      <x:c r="L24" s="47" t="str">
        <x:v>Yes</x:v>
      </x:c>
      <x:c r="M24" s="47" t="str">
        <x:v>Yes</x:v>
      </x:c>
      <x:c r="N24" s="47" t="str">
        <x:v>Yes</x:v>
      </x:c>
      <x:c r="O24" s="47" t="str">
        <x:v>Generative video/world models</x:v>
      </x:c>
      <x:c r="P24" s="47" t="str">
        <x:v>RoboDreamer</x:v>
      </x:c>
      <x:c r="Q24" s="47" t="str">
        <x:v>High</x:v>
      </x:c>
      <x:c r="R24" s="47" t="str">
        <x:v>Generative modeling directly used for compositional robot planning</x:v>
      </x:c>
      <x:c r="S24" s="47" t="str">
        <x:v>https://yilundu.github.io/</x:v>
      </x:c>
      <x:c r="T24" s="47" t="str">
        <x:v>https://arxiv.org/abs/2404.12377</x:v>
      </x:c>
      <x:c r="U24" s="47" t="str">
        <x:v>https://arxiv.org/abs/2404.12377</x:v>
      </x:c>
      <x:c r="V24" s="47" t="str">
        <x:v>P011</x:v>
      </x:c>
      <x:c r="W24" s="50" t="n">
        <x:v>659</x:v>
      </x:c>
      <x:c r="X24" s="47" t="str">
        <x:v>P012</x:v>
      </x:c>
      <x:c r="Y24" s="50" t="n">
        <x:v>212</x:v>
      </x:c>
      <x:c r="Z24" s="51" t="n">
        <x:f>IF(OR(N24&lt;&gt;"Yes",AA24&lt;&gt;"Both selected papers covered"),"",SQRT((W24+1)*(Y24+1))*IF(Q24="High",1,0.8))</x:f>
        <x:v>374.9399951992319</x:v>
      </x:c>
      <x:c r="AA24" s="47" t="str">
        <x:f>IF(AND(V24&lt;&gt;"",ISNUMBER(W24),X24&lt;&gt;"",ISNUMBER(Y24),COUNTIF('Papers'!$C$2:$C$56,V24)&gt;0,COUNTIF('Papers'!$C$2:$C$56,X24)&gt;0),"Both selected papers covered","Partial / missing selected-paper coverage")</x:f>
        <x:v>Both selected papers covered</x:v>
      </x:c>
      <x:c r="AB24" s="52" t="str">
        <x:v>2026-09-02</x:v>
      </x:c>
    </x:row>
    <x:row r="25">
      <x:c r="A25" s="50" t="n">
        <x:v>24</x:v>
      </x:c>
      <x:c r="B25" s="47" t="str">
        <x:v>R028</x:v>
      </x:c>
      <x:c r="C25" s="47" t="str">
        <x:v>Deepak Pathak</x:v>
      </x:c>
      <x:c r="D25" s="47" t="str">
        <x:v>US</x:v>
      </x:c>
      <x:c r="E25" s="47" t="str">
        <x:v>Carnegie Mellon</x:v>
      </x:c>
      <x:c r="F25" s="47" t="str">
        <x:v>U2</x:v>
      </x:c>
      <x:c r="G25" s="47" t="str">
        <x:v>Reward / affordance</x:v>
      </x:c>
      <x:c r="H25" s="47" t="str">
        <x:v>Native hybrid</x:v>
      </x:c>
      <x:c r="I25" s="50" t="n">
        <x:v>1</x:v>
      </x:c>
      <x:c r="J25" s="50" t="n">
        <x:v>3</x:v>
      </x:c>
      <x:c r="K25" s="50" t="n">
        <x:v>3</x:v>
      </x:c>
      <x:c r="L25" s="47" t="str">
        <x:v>Yes</x:v>
      </x:c>
      <x:c r="M25" s="47" t="str">
        <x:v>Yes</x:v>
      </x:c>
      <x:c r="N25" s="47" t="str">
        <x:v>Yes</x:v>
      </x:c>
      <x:c r="O25" s="47" t="str">
        <x:v>Self-supervised video/motion</x:v>
      </x:c>
      <x:c r="P25" s="47" t="str">
        <x:v>Curiosity-driven learning; robot learning</x:v>
      </x:c>
      <x:c r="Q25" s="47" t="str">
        <x:v>High</x:v>
      </x:c>
      <x:c r="R25" s="47" t="str">
        <x:v>Understanding/motion transfer, not generation-led</x:v>
      </x:c>
      <x:c r="S25" s="47" t="str">
        <x:v>https://www.cs.cmu.edu/~dpathak/</x:v>
      </x:c>
      <x:c r="T25" s="47" t="str">
        <x:v>https://arxiv.org/abs/1705.05363</x:v>
      </x:c>
      <x:c r="U25" s="47" t="str">
        <x:v>https://arxiv.org/abs/1705.05363</x:v>
      </x:c>
      <x:c r="V25" s="47" t="str">
        <x:v>P036</x:v>
      </x:c>
      <x:c r="W25" s="50" t="n">
        <x:v>251</x:v>
      </x:c>
      <x:c r="X25" s="47" t="str">
        <x:v>P036</x:v>
      </x:c>
      <x:c r="Y25" s="50" t="n">
        <x:v>251</x:v>
      </x:c>
      <x:c r="Z25" s="51" t="n">
        <x:f>IF(OR(N25&lt;&gt;"Yes",AA25&lt;&gt;"Both selected papers covered"),"",SQRT((W25+1)*(Y25+1))*IF(Q25="High",1,0.8))</x:f>
        <x:v>252</x:v>
      </x:c>
      <x:c r="AA25" s="47" t="str">
        <x:f>IF(AND(V25&lt;&gt;"",ISNUMBER(W25),X25&lt;&gt;"",ISNUMBER(Y25),COUNTIF('Papers'!$C$2:$C$56,V25)&gt;0,COUNTIF('Papers'!$C$2:$C$56,X25)&gt;0),"Both selected papers covered","Partial / missing selected-paper coverage")</x:f>
        <x:v>Both selected papers covered</x:v>
      </x:c>
      <x:c r="AB25" s="52" t="str">
        <x:v>2026-09-02</x:v>
      </x:c>
    </x:row>
    <x:row r="26">
      <x:c r="A26" s="50" t="n">
        <x:v>25</x:v>
      </x:c>
      <x:c r="B26" s="47" t="str">
        <x:v>R036</x:v>
      </x:c>
      <x:c r="C26" s="47" t="str">
        <x:v>Russell Mendonca</x:v>
      </x:c>
      <x:c r="D26" s="47" t="str">
        <x:v>US</x:v>
      </x:c>
      <x:c r="E26" s="47" t="str">
        <x:v>Carnegie Mellon</x:v>
      </x:c>
      <x:c r="F26" s="47" t="str">
        <x:v>U2</x:v>
      </x:c>
      <x:c r="G26" s="47" t="str">
        <x:v>Direct policy</x:v>
      </x:c>
      <x:c r="H26" s="47" t="str">
        <x:v>Bridger</x:v>
      </x:c>
      <x:c r="I26" s="50" t="n">
        <x:v>1</x:v>
      </x:c>
      <x:c r="J26" s="50" t="n">
        <x:v>3</x:v>
      </x:c>
      <x:c r="K26" s="50" t="n">
        <x:v>3</x:v>
      </x:c>
      <x:c r="L26" s="47" t="str">
        <x:v>Yes</x:v>
      </x:c>
      <x:c r="M26" s="47" t="str">
        <x:v>Yes</x:v>
      </x:c>
      <x:c r="N26" s="47" t="str">
        <x:v>Yes</x:v>
      </x:c>
      <x:c r="O26" s="47" t="str">
        <x:v>Learning from videos</x:v>
      </x:c>
      <x:c r="P26" s="47" t="str">
        <x:v>WHIRL; robot learning</x:v>
      </x:c>
      <x:c r="Q26" s="47" t="str">
        <x:v>High</x:v>
      </x:c>
      <x:c r="R26" s="47" t="str">
        <x:v>Human-video imitation to real robots</x:v>
      </x:c>
      <x:c r="S26" s="47" t="str">
        <x:v>https://russellmendonca.github.io/</x:v>
      </x:c>
      <x:c r="T26" s="47" t="str">
        <x:v>https://arxiv.org/abs/2207.09450</x:v>
      </x:c>
      <x:c r="U26" s="47" t="str">
        <x:v>https://arxiv.org/abs/2207.09450</x:v>
      </x:c>
      <x:c r="V26" s="47" t="str">
        <x:v>P036</x:v>
      </x:c>
      <x:c r="W26" s="50" t="n">
        <x:v>251</x:v>
      </x:c>
      <x:c r="X26" s="47" t="str">
        <x:v>P036</x:v>
      </x:c>
      <x:c r="Y26" s="50" t="n">
        <x:v>251</x:v>
      </x:c>
      <x:c r="Z26" s="51" t="n">
        <x:f>IF(OR(N26&lt;&gt;"Yes",AA26&lt;&gt;"Both selected papers covered"),"",SQRT((W26+1)*(Y26+1))*IF(Q26="High",1,0.8))</x:f>
        <x:v>252</x:v>
      </x:c>
      <x:c r="AA26" s="47" t="str">
        <x:f>IF(AND(V26&lt;&gt;"",ISNUMBER(W26),X26&lt;&gt;"",ISNUMBER(Y26),COUNTIF('Papers'!$C$2:$C$56,V26)&gt;0,COUNTIF('Papers'!$C$2:$C$56,X26)&gt;0),"Both selected papers covered","Partial / missing selected-paper coverage")</x:f>
        <x:v>Both selected papers covered</x:v>
      </x:c>
      <x:c r="AB26" s="52" t="str">
        <x:v>2026-09-02</x:v>
      </x:c>
    </x:row>
    <x:row r="27">
      <x:c r="A27" s="50" t="n">
        <x:v>26</x:v>
      </x:c>
      <x:c r="B27" s="47" t="str">
        <x:v>R031</x:v>
      </x:c>
      <x:c r="C27" s="47" t="str">
        <x:v>Shikhar Bahl</x:v>
      </x:c>
      <x:c r="D27" s="47" t="str">
        <x:v>US</x:v>
      </x:c>
      <x:c r="E27" s="47" t="str">
        <x:v>Carnegie Mellon</x:v>
      </x:c>
      <x:c r="F27" s="47" t="str">
        <x:v>U2</x:v>
      </x:c>
      <x:c r="G27" s="47" t="str">
        <x:v>Direct policy</x:v>
      </x:c>
      <x:c r="H27" s="47" t="str">
        <x:v>Bridger</x:v>
      </x:c>
      <x:c r="I27" s="50" t="n">
        <x:v>1</x:v>
      </x:c>
      <x:c r="J27" s="50" t="n">
        <x:v>3</x:v>
      </x:c>
      <x:c r="K27" s="50" t="n">
        <x:v>3</x:v>
      </x:c>
      <x:c r="L27" s="47" t="str">
        <x:v>Yes</x:v>
      </x:c>
      <x:c r="M27" s="47" t="str">
        <x:v>Yes</x:v>
      </x:c>
      <x:c r="N27" s="47" t="str">
        <x:v>Yes</x:v>
      </x:c>
      <x:c r="O27" s="47" t="str">
        <x:v>Learning from video / interaction</x:v>
      </x:c>
      <x:c r="P27" s="47" t="str">
        <x:v>WHIRL; robot learning</x:v>
      </x:c>
      <x:c r="Q27" s="47" t="str">
        <x:v>High</x:v>
      </x:c>
      <x:c r="R27" s="47" t="str">
        <x:v>Human-video to robot policy bridge</x:v>
      </x:c>
      <x:c r="S27" s="47" t="str">
        <x:v>https://shikharbahl.github.io/</x:v>
      </x:c>
      <x:c r="T27" s="47" t="str">
        <x:v>https://arxiv.org/abs/2207.09450</x:v>
      </x:c>
      <x:c r="U27" s="47" t="str">
        <x:v>https://arxiv.org/abs/2207.09450</x:v>
      </x:c>
      <x:c r="V27" s="47" t="str">
        <x:v>P036</x:v>
      </x:c>
      <x:c r="W27" s="50" t="n">
        <x:v>251</x:v>
      </x:c>
      <x:c r="X27" s="47" t="str">
        <x:v>P036</x:v>
      </x:c>
      <x:c r="Y27" s="50" t="n">
        <x:v>251</x:v>
      </x:c>
      <x:c r="Z27" s="51" t="n">
        <x:f>IF(OR(N27&lt;&gt;"Yes",AA27&lt;&gt;"Both selected papers covered"),"",SQRT((W27+1)*(Y27+1))*IF(Q27="High",1,0.8))</x:f>
        <x:v>252</x:v>
      </x:c>
      <x:c r="AA27" s="47" t="str">
        <x:f>IF(AND(V27&lt;&gt;"",ISNUMBER(W27),X27&lt;&gt;"",ISNUMBER(Y27),COUNTIF('Papers'!$C$2:$C$56,V27)&gt;0,COUNTIF('Papers'!$C$2:$C$56,X27)&gt;0),"Both selected papers covered","Partial / missing selected-paper coverage")</x:f>
        <x:v>Both selected papers covered</x:v>
      </x:c>
      <x:c r="AB27" s="52" t="str">
        <x:v>2026-09-02</x:v>
      </x:c>
    </x:row>
    <x:row r="28">
      <x:c r="A28" s="50" t="n">
        <x:v>27</x:v>
      </x:c>
      <x:c r="B28" s="47" t="str">
        <x:v>R035</x:v>
      </x:c>
      <x:c r="C28" s="47" t="str">
        <x:v>Homanga Bharadhwaj</x:v>
      </x:c>
      <x:c r="D28" s="47" t="str">
        <x:v>US</x:v>
      </x:c>
      <x:c r="E28" s="47" t="str">
        <x:v>Carnegie Mellon</x:v>
      </x:c>
      <x:c r="F28" s="47" t="str">
        <x:v>G2</x:v>
      </x:c>
      <x:c r="G28" s="47" t="str">
        <x:v>Planning</x:v>
      </x:c>
      <x:c r="H28" s="47" t="str">
        <x:v>Bridger</x:v>
      </x:c>
      <x:c r="I28" s="50" t="n">
        <x:v>2</x:v>
      </x:c>
      <x:c r="J28" s="50" t="n">
        <x:v>2</x:v>
      </x:c>
      <x:c r="K28" s="50" t="n">
        <x:v>3</x:v>
      </x:c>
      <x:c r="L28" s="47" t="str">
        <x:v>Yes</x:v>
      </x:c>
      <x:c r="M28" s="47" t="str">
        <x:v>Yes</x:v>
      </x:c>
      <x:c r="N28" s="47" t="str">
        <x:v>Yes</x:v>
      </x:c>
      <x:c r="O28" s="47" t="str">
        <x:v>Video prediction</x:v>
      </x:c>
      <x:c r="P28" s="47" t="str">
        <x:v>RoboDreamer / robot learning</x:v>
      </x:c>
      <x:c r="Q28" s="47" t="str">
        <x:v>High</x:v>
      </x:c>
      <x:c r="R28" s="47" t="str">
        <x:v>World-model planning bridge</x:v>
      </x:c>
      <x:c r="S28" s="47" t="str">
        <x:v>https://homangab.github.io/</x:v>
      </x:c>
      <x:c r="T28" s="47" t="str">
        <x:v>https://arxiv.org/abs/2404.12377</x:v>
      </x:c>
      <x:c r="U28" s="47" t="str">
        <x:v>https://arxiv.org/abs/2404.12377</x:v>
      </x:c>
      <x:c r="V28" s="47" t="str">
        <x:v>P012</x:v>
      </x:c>
      <x:c r="W28" s="50" t="n">
        <x:v>212</x:v>
      </x:c>
      <x:c r="X28" s="47" t="str">
        <x:v>P012</x:v>
      </x:c>
      <x:c r="Y28" s="50" t="n">
        <x:v>212</x:v>
      </x:c>
      <x:c r="Z28" s="51" t="n">
        <x:f>IF(OR(N28&lt;&gt;"Yes",AA28&lt;&gt;"Both selected papers covered"),"",SQRT((W28+1)*(Y28+1))*IF(Q28="High",1,0.8))</x:f>
        <x:v>213</x:v>
      </x:c>
      <x:c r="AA28" s="47" t="str">
        <x:f>IF(AND(V28&lt;&gt;"",ISNUMBER(W28),X28&lt;&gt;"",ISNUMBER(Y28),COUNTIF('Papers'!$C$2:$C$56,V28)&gt;0,COUNTIF('Papers'!$C$2:$C$56,X28)&gt;0),"Both selected papers covered","Partial / missing selected-paper coverage")</x:f>
        <x:v>Both selected papers covered</x:v>
      </x:c>
      <x:c r="AB28" s="52" t="str">
        <x:v>2026-09-02</x:v>
      </x:c>
    </x:row>
    <x:row r="29">
      <x:c r="A29" s="50" t="n">
        <x:v>28</x:v>
      </x:c>
      <x:c r="B29" s="47" t="str">
        <x:v>R053</x:v>
      </x:c>
      <x:c r="C29" s="47" t="str">
        <x:v>Jianwei Yang</x:v>
      </x:c>
      <x:c r="D29" s="47" t="str">
        <x:v>US</x:v>
      </x:c>
      <x:c r="E29" s="47" t="str">
        <x:v>Microsoft Research</x:v>
      </x:c>
      <x:c r="F29" s="47" t="str">
        <x:v>VL</x:v>
      </x:c>
      <x:c r="G29" s="47" t="str">
        <x:v>Direct policy</x:v>
      </x:c>
      <x:c r="H29" s="47" t="str">
        <x:v>Bridger</x:v>
      </x:c>
      <x:c r="I29" s="50" t="n">
        <x:v>1</x:v>
      </x:c>
      <x:c r="J29" s="50" t="n">
        <x:v>3</x:v>
      </x:c>
      <x:c r="K29" s="50" t="n">
        <x:v>3</x:v>
      </x:c>
      <x:c r="L29" s="47" t="str">
        <x:v>Yes</x:v>
      </x:c>
      <x:c r="M29" s="47" t="str">
        <x:v>Yes</x:v>
      </x:c>
      <x:c r="N29" s="47" t="str">
        <x:v>Yes</x:v>
      </x:c>
      <x:c r="O29" s="47" t="str">
        <x:v>Multimodal video understanding</x:v>
      </x:c>
      <x:c r="P29" s="47" t="str">
        <x:v>Magma</x:v>
      </x:c>
      <x:c r="Q29" s="47" t="str">
        <x:v>High</x:v>
      </x:c>
      <x:c r="R29" s="47" t="str">
        <x:v>Unified multimodal agent spanning video and robotics</x:v>
      </x:c>
      <x:c r="S29" s="47" t="str">
        <x:v>https://openaccess.thecvf.com/content/CVPR2025/papers/Yang_Magma_A_Foundation_Model_for_Multimodal_AI_Agents_CVPR_2025_paper.pdf</x:v>
      </x:c>
      <x:c r="T29" s="47" t="str">
        <x:v>https://openaccess.thecvf.com/content/CVPR2025/papers/Yang_Magma_A_Foundation_Model_for_Multimodal_AI_Agents_CVPR_2025_paper.pdf</x:v>
      </x:c>
      <x:c r="U29" s="47" t="str">
        <x:v>https://openaccess.thecvf.com/content/CVPR2025/papers/Yang_Magma_A_Foundation_Model_for_Multimodal_AI_Agents_CVPR_2025_paper.pdf</x:v>
      </x:c>
      <x:c r="V29" s="47" t="str">
        <x:v>P025</x:v>
      </x:c>
      <x:c r="W29" s="50" t="n">
        <x:v>189</x:v>
      </x:c>
      <x:c r="X29" s="47" t="str">
        <x:v>P025</x:v>
      </x:c>
      <x:c r="Y29" s="50" t="n">
        <x:v>189</x:v>
      </x:c>
      <x:c r="Z29" s="51" t="n">
        <x:f>IF(OR(N29&lt;&gt;"Yes",AA29&lt;&gt;"Both selected papers covered"),"",SQRT((W29+1)*(Y29+1))*IF(Q29="High",1,0.8))</x:f>
        <x:v>190</x:v>
      </x:c>
      <x:c r="AA29" s="47" t="str">
        <x:f>IF(AND(V29&lt;&gt;"",ISNUMBER(W29),X29&lt;&gt;"",ISNUMBER(Y29),COUNTIF('Papers'!$C$2:$C$56,V29)&gt;0,COUNTIF('Papers'!$C$2:$C$56,X29)&gt;0),"Both selected papers covered","Partial / missing selected-paper coverage")</x:f>
        <x:v>Both selected papers covered</x:v>
      </x:c>
      <x:c r="AB29" s="52" t="str">
        <x:v>2026-09-02</x:v>
      </x:c>
    </x:row>
    <x:row r="30">
      <x:c r="A30" s="50" t="n">
        <x:v>29</x:v>
      </x:c>
      <x:c r="B30" s="47" t="str">
        <x:v>R029</x:v>
      </x:c>
      <x:c r="C30" s="47" t="str">
        <x:v>Abhinav Gupta</x:v>
      </x:c>
      <x:c r="D30" s="47" t="str">
        <x:v>US</x:v>
      </x:c>
      <x:c r="E30" s="47" t="str">
        <x:v>Carnegie Mellon / Meta</x:v>
      </x:c>
      <x:c r="F30" s="47" t="str">
        <x:v>U2</x:v>
      </x:c>
      <x:c r="G30" s="47" t="str">
        <x:v>Perception backbone</x:v>
      </x:c>
      <x:c r="H30" s="47" t="str">
        <x:v>Native hybrid</x:v>
      </x:c>
      <x:c r="I30" s="50" t="n">
        <x:v>1</x:v>
      </x:c>
      <x:c r="J30" s="50" t="n">
        <x:v>3</x:v>
      </x:c>
      <x:c r="K30" s="50" t="n">
        <x:v>3</x:v>
      </x:c>
      <x:c r="L30" s="47" t="str">
        <x:v>Yes</x:v>
      </x:c>
      <x:c r="M30" s="47" t="str">
        <x:v>Yes</x:v>
      </x:c>
      <x:c r="N30" s="47" t="str">
        <x:v>Yes</x:v>
      </x:c>
      <x:c r="O30" s="47" t="str">
        <x:v>Large-scale video understanding</x:v>
      </x:c>
      <x:c r="P30" s="47" t="str">
        <x:v>Robot learning from visual data</x:v>
      </x:c>
      <x:c r="Q30" s="47" t="str">
        <x:v>High</x:v>
      </x:c>
      <x:c r="R30" s="47" t="str">
        <x:v>Long-running hybrid vision/robotics program</x:v>
      </x:c>
      <x:c r="S30" s="47" t="str">
        <x:v>https://www.cs.cmu.edu/~abhinavg/</x:v>
      </x:c>
      <x:c r="T30" s="47" t="str">
        <x:v>https://arxiv.org/abs/1904.01766</x:v>
      </x:c>
      <x:c r="U30" s="47" t="str">
        <x:v>https://arxiv.org/abs/2204.01691</x:v>
      </x:c>
      <x:c r="V30" s="47" t="str">
        <x:v>P014</x:v>
      </x:c>
      <x:c r="W30" s="50" t="n">
        <x:v>184</x:v>
      </x:c>
      <x:c r="X30" s="47" t="str">
        <x:v>P014</x:v>
      </x:c>
      <x:c r="Y30" s="50" t="n">
        <x:v>184</x:v>
      </x:c>
      <x:c r="Z30" s="51" t="n">
        <x:f>IF(OR(N30&lt;&gt;"Yes",AA30&lt;&gt;"Both selected papers covered"),"",SQRT((W30+1)*(Y30+1))*IF(Q30="High",1,0.8))</x:f>
        <x:v>185</x:v>
      </x:c>
      <x:c r="AA30" s="47" t="str">
        <x:f>IF(AND(V30&lt;&gt;"",ISNUMBER(W30),X30&lt;&gt;"",ISNUMBER(Y30),COUNTIF('Papers'!$C$2:$C$56,V30)&gt;0,COUNTIF('Papers'!$C$2:$C$56,X30)&gt;0),"Both selected papers covered","Partial / missing selected-paper coverage")</x:f>
        <x:v>Both selected papers covered</x:v>
      </x:c>
      <x:c r="AB30" s="52" t="str">
        <x:v>2026-09-02</x:v>
      </x:c>
    </x:row>
    <x:row r="31">
      <x:c r="A31" s="50" t="n">
        <x:v>30</x:v>
      </x:c>
      <x:c r="B31" s="47" t="str">
        <x:v>R042</x:v>
      </x:c>
      <x:c r="C31" s="47" t="str">
        <x:v>Cordelia Schmid</x:v>
      </x:c>
      <x:c r="D31" s="47" t="str">
        <x:v>Europe</x:v>
      </x:c>
      <x:c r="E31" s="47" t="str">
        <x:v>Inria / ENS Paris</x:v>
      </x:c>
      <x:c r="F31" s="47" t="str">
        <x:v>U1</x:v>
      </x:c>
      <x:c r="G31" s="47" t="str">
        <x:v>Perception backbone</x:v>
      </x:c>
      <x:c r="H31" s="47" t="str">
        <x:v>Bridger</x:v>
      </x:c>
      <x:c r="I31" s="50" t="n">
        <x:v>1</x:v>
      </x:c>
      <x:c r="J31" s="50" t="n">
        <x:v>3</x:v>
      </x:c>
      <x:c r="K31" s="50" t="n">
        <x:v>3</x:v>
      </x:c>
      <x:c r="L31" s="47" t="str">
        <x:v>Yes</x:v>
      </x:c>
      <x:c r="M31" s="47" t="str">
        <x:v>Yes</x:v>
      </x:c>
      <x:c r="N31" s="47" t="str">
        <x:v>Yes</x:v>
      </x:c>
      <x:c r="O31" s="47" t="str">
        <x:v>Video action recognition / VideoBERT lineage</x:v>
      </x:c>
      <x:c r="P31" s="47" t="str">
        <x:v>Video-conditioned robot policies; ViViDex</x:v>
      </x:c>
      <x:c r="Q31" s="47" t="str">
        <x:v>High</x:v>
      </x:c>
      <x:c r="R31" s="47" t="str">
        <x:v>Major European understanding→robotics hub</x:v>
      </x:c>
      <x:c r="S31" s="47" t="str">
        <x:v>https://thoth.inrialpes.fr/~schmid/</x:v>
      </x:c>
      <x:c r="T31" s="47" t="str">
        <x:v>https://arxiv.org/abs/1904.01766</x:v>
      </x:c>
      <x:c r="U31" s="47" t="str">
        <x:v>https://arxiv.org/abs/2404.15709</x:v>
      </x:c>
      <x:c r="V31" s="47" t="str">
        <x:v>P023</x:v>
      </x:c>
      <x:c r="W31" s="50" t="n">
        <x:v>37</x:v>
      </x:c>
      <x:c r="X31" s="47" t="str">
        <x:v>P022</x:v>
      </x:c>
      <x:c r="Y31" s="50" t="n">
        <x:v>62</x:v>
      </x:c>
      <x:c r="Z31" s="51" t="n">
        <x:f>IF(OR(N31&lt;&gt;"Yes",AA31&lt;&gt;"Both selected papers covered"),"",SQRT((W31+1)*(Y31+1))*IF(Q31="High",1,0.8))</x:f>
        <x:v>48.92851929090027</x:v>
      </x:c>
      <x:c r="AA31" s="47" t="str">
        <x:f>IF(AND(V31&lt;&gt;"",ISNUMBER(W31),X31&lt;&gt;"",ISNUMBER(Y31),COUNTIF('Papers'!$C$2:$C$56,V31)&gt;0,COUNTIF('Papers'!$C$2:$C$56,X31)&gt;0),"Both selected papers covered","Partial / missing selected-paper coverage")</x:f>
        <x:v>Both selected papers covered</x:v>
      </x:c>
      <x:c r="AB31" s="52" t="str">
        <x:v>2026-09-02</x:v>
      </x:c>
    </x:row>
    <x:row r="32">
      <x:c r="A32" s="50" t="n">
        <x:v>31</x:v>
      </x:c>
      <x:c r="B32" s="47" t="str">
        <x:v>R043</x:v>
      </x:c>
      <x:c r="C32" s="47" t="str">
        <x:v>Ivan Laptev</x:v>
      </x:c>
      <x:c r="D32" s="47" t="str">
        <x:v>Europe</x:v>
      </x:c>
      <x:c r="E32" s="47" t="str">
        <x:v>Inria / ENS Paris</x:v>
      </x:c>
      <x:c r="F32" s="47" t="str">
        <x:v>U1</x:v>
      </x:c>
      <x:c r="G32" s="47" t="str">
        <x:v>Direct policy</x:v>
      </x:c>
      <x:c r="H32" s="47" t="str">
        <x:v>Bridger</x:v>
      </x:c>
      <x:c r="I32" s="50" t="n">
        <x:v>1</x:v>
      </x:c>
      <x:c r="J32" s="50" t="n">
        <x:v>3</x:v>
      </x:c>
      <x:c r="K32" s="50" t="n">
        <x:v>3</x:v>
      </x:c>
      <x:c r="L32" s="47" t="str">
        <x:v>Yes</x:v>
      </x:c>
      <x:c r="M32" s="47" t="str">
        <x:v>Yes</x:v>
      </x:c>
      <x:c r="N32" s="47" t="str">
        <x:v>Yes</x:v>
      </x:c>
      <x:c r="O32" s="47" t="str">
        <x:v>Action recognition</x:v>
      </x:c>
      <x:c r="P32" s="47" t="str">
        <x:v>Video-conditioned policies</x:v>
      </x:c>
      <x:c r="Q32" s="47" t="str">
        <x:v>High</x:v>
      </x:c>
      <x:c r="R32" s="47" t="str">
        <x:v>Major European video-understanding→manipulation bridge</x:v>
      </x:c>
      <x:c r="S32" s="47" t="str">
        <x:v>https://www.di.ens.fr/~laptev/</x:v>
      </x:c>
      <x:c r="T32" s="47" t="str">
        <x:v>https://arxiv.org/abs/1904.01766</x:v>
      </x:c>
      <x:c r="U32" s="47" t="str">
        <x:v>https://arxiv.org/abs/2305.06289</x:v>
      </x:c>
      <x:c r="V32" s="47" t="str">
        <x:v>P023</x:v>
      </x:c>
      <x:c r="W32" s="50" t="n">
        <x:v>37</x:v>
      </x:c>
      <x:c r="X32" s="47" t="str">
        <x:v>P023</x:v>
      </x:c>
      <x:c r="Y32" s="50" t="n">
        <x:v>37</x:v>
      </x:c>
      <x:c r="Z32" s="51" t="n">
        <x:f>IF(OR(N32&lt;&gt;"Yes",AA32&lt;&gt;"Both selected papers covered"),"",SQRT((W32+1)*(Y32+1))*IF(Q32="High",1,0.8))</x:f>
        <x:v>38</x:v>
      </x:c>
      <x:c r="AA32" s="47" t="str">
        <x:f>IF(AND(V32&lt;&gt;"",ISNUMBER(W32),X32&lt;&gt;"",ISNUMBER(Y32),COUNTIF('Papers'!$C$2:$C$56,V32)&gt;0,COUNTIF('Papers'!$C$2:$C$56,X32)&gt;0),"Both selected papers covered","Partial / missing selected-paper coverage")</x:f>
        <x:v>Both selected papers covered</x:v>
      </x:c>
      <x:c r="AB32" s="52" t="str">
        <x:v>2026-09-02</x:v>
      </x:c>
    </x:row>
    <x:row r="33">
      <x:c r="A33" s="50" t="n">
        <x:v>32</x:v>
      </x:c>
      <x:c r="B33" s="47" t="str">
        <x:v>R004</x:v>
      </x:c>
      <x:c r="C33" s="47" t="str">
        <x:v>Jiajun Wu</x:v>
      </x:c>
      <x:c r="D33" s="47" t="str">
        <x:v>US</x:v>
      </x:c>
      <x:c r="E33" s="47" t="str">
        <x:v>Stanford</x:v>
      </x:c>
      <x:c r="F33" s="47" t="str">
        <x:v>G1</x:v>
      </x:c>
      <x:c r="G33" s="47" t="str">
        <x:v>Planning</x:v>
      </x:c>
      <x:c r="H33" s="47" t="str">
        <x:v>Bridger</x:v>
      </x:c>
      <x:c r="I33" s="50" t="n">
        <x:v>2</x:v>
      </x:c>
      <x:c r="J33" s="50" t="n">
        <x:v>3</x:v>
      </x:c>
      <x:c r="K33" s="50" t="n">
        <x:v>3</x:v>
      </x:c>
      <x:c r="L33" s="47" t="str">
        <x:v>Yes</x:v>
      </x:c>
      <x:c r="M33" s="47" t="str">
        <x:v>Yes</x:v>
      </x:c>
      <x:c r="N33" s="47" t="str">
        <x:v>Yes</x:v>
      </x:c>
      <x:c r="O33" s="47" t="str">
        <x:v>SiamMAE / video prediction work</x:v>
      </x:c>
      <x:c r="P33" s="47" t="str">
        <x:v>Dream2Flow; robotics and embodied AI</x:v>
      </x:c>
      <x:c r="Q33" s="47" t="str">
        <x:v>High</x:v>
      </x:c>
      <x:c r="R33" s="47" t="str">
        <x:v>Strong hybrid rather than a clean one-way switch</x:v>
      </x:c>
      <x:c r="S33" s="47" t="str">
        <x:v>https://jiajunwu.com/</x:v>
      </x:c>
      <x:c r="T33" s="47" t="str">
        <x:v>https://arxiv.org/abs/2305.14344</x:v>
      </x:c>
      <x:c r="U33" s="47" t="str">
        <x:v>https://jiajunwu.com/</x:v>
      </x:c>
      <x:c r="V33" s="47" t="str">
        <x:v>P002</x:v>
      </x:c>
      <x:c r="W33" s="50" t="n">
        <x:v>157</x:v>
      </x:c>
      <x:c r="X33" s="47" t="str">
        <x:v>P026</x:v>
      </x:c>
      <x:c r="Y33" s="50" t="n">
        <x:v>8</x:v>
      </x:c>
      <x:c r="Z33" s="51" t="n">
        <x:f>IF(OR(N33&lt;&gt;"Yes",AA33&lt;&gt;"Both selected papers covered"),"",SQRT((W33+1)*(Y33+1))*IF(Q33="High",1,0.8))</x:f>
        <x:v>37.70941526992961</x:v>
      </x:c>
      <x:c r="AA33" s="47" t="str">
        <x:f>IF(AND(V33&lt;&gt;"",ISNUMBER(W33),X33&lt;&gt;"",ISNUMBER(Y33),COUNTIF('Papers'!$C$2:$C$56,V33)&gt;0,COUNTIF('Papers'!$C$2:$C$56,X33)&gt;0),"Both selected papers covered","Partial / missing selected-paper coverage")</x:f>
        <x:v>Both selected papers covered</x:v>
      </x:c>
      <x:c r="AB33" s="52" t="str">
        <x:v>2026-09-02</x:v>
      </x:c>
    </x:row>
    <x:row r="34">
      <x:c r="A34" s="50"/>
      <x:c r="B34" s="47" t="str">
        <x:v>R048</x:v>
      </x:c>
      <x:c r="C34" s="47" t="str">
        <x:v>Andrea Vedaldi</x:v>
      </x:c>
      <x:c r="D34" s="47" t="str">
        <x:v>Europe</x:v>
      </x:c>
      <x:c r="E34" s="47" t="str">
        <x:v>University of Oxford</x:v>
      </x:c>
      <x:c r="F34" s="47" t="str">
        <x:v>U2</x:v>
      </x:c>
      <x:c r="G34" s="47" t="str">
        <x:v>Perception backbone</x:v>
      </x:c>
      <x:c r="H34" s="47" t="str">
        <x:v>Bridger</x:v>
      </x:c>
      <x:c r="I34" s="50" t="n">
        <x:v>1</x:v>
      </x:c>
      <x:c r="J34" s="50" t="n">
        <x:v>3</x:v>
      </x:c>
      <x:c r="K34" s="50" t="n">
        <x:v>1</x:v>
      </x:c>
      <x:c r="L34" s="47" t="str">
        <x:v>Yes</x:v>
      </x:c>
      <x:c r="M34" s="47" t="str">
        <x:v>Emerging</x:v>
      </x:c>
      <x:c r="N34" s="47" t="str">
        <x:v>No</x:v>
      </x:c>
      <x:c r="O34" s="47" t="str">
        <x:v>CoTracker / video representation</x:v>
      </x:c>
      <x:c r="P34" s="47" t="str">
        <x:v>Robotics-adjacent dynamic representation</x:v>
      </x:c>
      <x:c r="Q34" s="47" t="str">
        <x:v>Medium</x:v>
      </x:c>
      <x:c r="R34" s="47" t="str">
        <x:v>Strong video representation work; direct authorship on selected robot world-model papers not verified</x:v>
      </x:c>
      <x:c r="S34" s="47" t="str">
        <x:v>https://www.robots.ox.ac.uk/~vedaldi/</x:v>
      </x:c>
      <x:c r="T34" s="47" t="str">
        <x:v>https://arxiv.org/abs/2307.07635</x:v>
      </x:c>
      <x:c r="U34" s="47" t="str">
        <x:v>https://arxiv.org/abs/2307.07635</x:v>
      </x:c>
      <x:c r="V34" s="47" t="str">
        <x:v>P033</x:v>
      </x:c>
      <x:c r="W34" s="50" t="n">
        <x:v>720</x:v>
      </x:c>
      <x:c r="X34" s="47"/>
      <x:c r="Y34" s="50"/>
      <x:c r="Z34" s="51" t="str">
        <x:f>IF(OR(N34&lt;&gt;"Yes",AA34&lt;&gt;"Both selected papers covered"),"",SQRT((W34+1)*(Y34+1))*IF(Q34="High",1,0.8))</x:f>
      </x:c>
      <x:c r="AA34" s="47" t="str">
        <x:f>IF(AND(V34&lt;&gt;"",ISNUMBER(W34),X34&lt;&gt;"",ISNUMBER(Y34),COUNTIF('Papers'!$C$2:$C$56,V34)&gt;0,COUNTIF('Papers'!$C$2:$C$56,X34)&gt;0),"Both selected papers covered","Partial / missing selected-paper coverage")</x:f>
        <x:v>Partial / missing selected-paper coverage</x:v>
      </x:c>
      <x:c r="AB34" s="52" t="str">
        <x:v>2026-09-02</x:v>
      </x:c>
    </x:row>
    <x:row r="35">
      <x:c r="A35" s="50"/>
      <x:c r="B35" s="47" t="str">
        <x:v>R006</x:v>
      </x:c>
      <x:c r="C35" s="47" t="str">
        <x:v>Carl Doersch</x:v>
      </x:c>
      <x:c r="D35" s="47" t="str">
        <x:v>Europe</x:v>
      </x:c>
      <x:c r="E35" s="47" t="str">
        <x:v>Google DeepMind London</x:v>
      </x:c>
      <x:c r="F35" s="47" t="str">
        <x:v>U2</x:v>
      </x:c>
      <x:c r="G35" s="47" t="str">
        <x:v>Perception backbone</x:v>
      </x:c>
      <x:c r="H35" s="47" t="str">
        <x:v>Bridger</x:v>
      </x:c>
      <x:c r="I35" s="50" t="n">
        <x:v>1</x:v>
      </x:c>
      <x:c r="J35" s="50" t="n">
        <x:v>3</x:v>
      </x:c>
      <x:c r="K35" s="50" t="n">
        <x:v>2</x:v>
      </x:c>
      <x:c r="L35" s="47" t="str">
        <x:v>Yes</x:v>
      </x:c>
      <x:c r="M35" s="47" t="str">
        <x:v>Emerging</x:v>
      </x:c>
      <x:c r="N35" s="47" t="str">
        <x:v>No</x:v>
      </x:c>
      <x:c r="O35" s="47" t="str">
        <x:v>TAP-Vid</x:v>
      </x:c>
      <x:c r="P35" s="47" t="str">
        <x:v>Gemini Robotics / embodied perception</x:v>
      </x:c>
      <x:c r="Q35" s="47" t="str">
        <x:v>Medium</x:v>
      </x:c>
      <x:c r="R35" s="47" t="str">
        <x:v>Tracking and correspondence transfer into embodied systems</x:v>
      </x:c>
      <x:c r="S35" s="47" t="str">
        <x:v>https://www.carldoersch.com/</x:v>
      </x:c>
      <x:c r="T35" s="47" t="str">
        <x:v>https://arxiv.org/abs/2211.03726</x:v>
      </x:c>
      <x:c r="U35" s="47" t="str">
        <x:v>https://deepmind.google/blog/gemini-robotics-15-brings-ai-agents-into-the-physical-world/</x:v>
      </x:c>
      <x:c r="V35" s="47" t="str">
        <x:v>P006</x:v>
      </x:c>
      <x:c r="W35" s="50" t="n">
        <x:v>332</x:v>
      </x:c>
      <x:c r="X35" s="47" t="str">
        <x:v>P027</x:v>
      </x:c>
      <x:c r="Y35" s="50" t="n">
        <x:v>7</x:v>
      </x:c>
      <x:c r="Z35" s="51" t="str">
        <x:f>IF(OR(N35&lt;&gt;"Yes",AA35&lt;&gt;"Both selected papers covered"),"",SQRT((W35+1)*(Y35+1))*IF(Q35="High",1,0.8))</x:f>
      </x:c>
      <x:c r="AA35" s="47" t="str">
        <x:f>IF(AND(V35&lt;&gt;"",ISNUMBER(W35),X35&lt;&gt;"",ISNUMBER(Y35),COUNTIF('Papers'!$C$2:$C$56,V35)&gt;0,COUNTIF('Papers'!$C$2:$C$56,X35)&gt;0),"Both selected papers covered","Partial / missing selected-paper coverage")</x:f>
        <x:v>Both selected papers covered</x:v>
      </x:c>
      <x:c r="AB35" s="52" t="str">
        <x:v>2026-09-02</x:v>
      </x:c>
    </x:row>
    <x:row r="36">
      <x:c r="A36" s="50"/>
      <x:c r="B36" s="47" t="str">
        <x:v>R047</x:v>
      </x:c>
      <x:c r="C36" s="47" t="str">
        <x:v>Christian Rupprecht</x:v>
      </x:c>
      <x:c r="D36" s="47" t="str">
        <x:v>Europe</x:v>
      </x:c>
      <x:c r="E36" s="47" t="str">
        <x:v>University of Oxford</x:v>
      </x:c>
      <x:c r="F36" s="47" t="str">
        <x:v>U2</x:v>
      </x:c>
      <x:c r="G36" s="47" t="str">
        <x:v>Perception backbone</x:v>
      </x:c>
      <x:c r="H36" s="47" t="str">
        <x:v>Bridger</x:v>
      </x:c>
      <x:c r="I36" s="50" t="n">
        <x:v>1</x:v>
      </x:c>
      <x:c r="J36" s="50" t="n">
        <x:v>3</x:v>
      </x:c>
      <x:c r="K36" s="50" t="n">
        <x:v>1</x:v>
      </x:c>
      <x:c r="L36" s="47" t="str">
        <x:v>Yes</x:v>
      </x:c>
      <x:c r="M36" s="47" t="str">
        <x:v>Emerging</x:v>
      </x:c>
      <x:c r="N36" s="47" t="str">
        <x:v>No</x:v>
      </x:c>
      <x:c r="O36" s="47" t="str">
        <x:v>CoTracker / video motion</x:v>
      </x:c>
      <x:c r="P36" s="47" t="str">
        <x:v>Robotics-adjacent dynamic representation</x:v>
      </x:c>
      <x:c r="Q36" s="47" t="str">
        <x:v>Medium</x:v>
      </x:c>
      <x:c r="R36" s="47" t="str">
        <x:v>Strong video motion work; direct authorship on selected robot world-model papers not verified</x:v>
      </x:c>
      <x:c r="S36" s="47" t="str">
        <x:v>https://chrirupp.github.io/</x:v>
      </x:c>
      <x:c r="T36" s="47" t="str">
        <x:v>https://arxiv.org/abs/2307.07635</x:v>
      </x:c>
      <x:c r="U36" s="47" t="str">
        <x:v>https://arxiv.org/abs/2307.07635</x:v>
      </x:c>
      <x:c r="V36" s="47" t="str">
        <x:v>P033</x:v>
      </x:c>
      <x:c r="W36" s="50" t="n">
        <x:v>720</x:v>
      </x:c>
      <x:c r="X36" s="47"/>
      <x:c r="Y36" s="50"/>
      <x:c r="Z36" s="51" t="str">
        <x:f>IF(OR(N36&lt;&gt;"Yes",AA36&lt;&gt;"Both selected papers covered"),"",SQRT((W36+1)*(Y36+1))*IF(Q36="High",1,0.8))</x:f>
      </x:c>
      <x:c r="AA36" s="47" t="str">
        <x:f>IF(AND(V36&lt;&gt;"",ISNUMBER(W36),X36&lt;&gt;"",ISNUMBER(Y36),COUNTIF('Papers'!$C$2:$C$56,V36)&gt;0,COUNTIF('Papers'!$C$2:$C$56,X36)&gt;0),"Both selected papers covered","Partial / missing selected-paper coverage")</x:f>
        <x:v>Partial / missing selected-paper coverage</x:v>
      </x:c>
      <x:c r="AB36" s="52" t="str">
        <x:v>2026-09-02</x:v>
      </x:c>
    </x:row>
    <x:row r="37">
      <x:c r="A37" s="50"/>
      <x:c r="B37" s="47" t="str">
        <x:v>R032</x:v>
      </x:c>
      <x:c r="C37" s="47" t="str">
        <x:v>Dinesh Jayaraman</x:v>
      </x:c>
      <x:c r="D37" s="47" t="str">
        <x:v>US</x:v>
      </x:c>
      <x:c r="E37" s="47" t="str">
        <x:v>University of Pennsylvania</x:v>
      </x:c>
      <x:c r="F37" s="47" t="str">
        <x:v>U2</x:v>
      </x:c>
      <x:c r="G37" s="47" t="str">
        <x:v>Planning</x:v>
      </x:c>
      <x:c r="H37" s="47" t="str">
        <x:v>Native hybrid</x:v>
      </x:c>
      <x:c r="I37" s="50" t="n">
        <x:v>1</x:v>
      </x:c>
      <x:c r="J37" s="50" t="n">
        <x:v>3</x:v>
      </x:c>
      <x:c r="K37" s="50" t="n">
        <x:v>3</x:v>
      </x:c>
      <x:c r="L37" s="47" t="str">
        <x:v>Yes</x:v>
      </x:c>
      <x:c r="M37" s="47" t="str">
        <x:v>Yes</x:v>
      </x:c>
      <x:c r="N37" s="47" t="str">
        <x:v>Yes</x:v>
      </x:c>
      <x:c r="O37" s="47" t="str">
        <x:v>Video prediction / interaction understanding</x:v>
      </x:c>
      <x:c r="P37" s="47" t="str">
        <x:v>Robot planning</x:v>
      </x:c>
      <x:c r="Q37" s="47" t="str">
        <x:v>High</x:v>
      </x:c>
      <x:c r="R37" s="47" t="str">
        <x:v>Video dynamics as control representation</x:v>
      </x:c>
      <x:c r="S37" s="47" t="str">
        <x:v>https://www.seas.upenn.edu/~dineshj/</x:v>
      </x:c>
      <x:c r="T37" s="47" t="str">
        <x:v>https://arxiv.org/abs/1806.07857</x:v>
      </x:c>
      <x:c r="U37" s="47" t="str">
        <x:v>https://arxiv.org/abs/1806.07857</x:v>
      </x:c>
      <x:c r="V37" s="47"/>
      <x:c r="W37" s="50"/>
      <x:c r="X37" s="47"/>
      <x:c r="Y37" s="50"/>
      <x:c r="Z37" s="51" t="str">
        <x:f>IF(OR(N37&lt;&gt;"Yes",AA37&lt;&gt;"Both selected papers covered"),"",SQRT((W37+1)*(Y37+1))*IF(Q37="High",1,0.8))</x:f>
      </x:c>
      <x:c r="AA37" s="47" t="str">
        <x:f>IF(AND(V37&lt;&gt;"",ISNUMBER(W37),X37&lt;&gt;"",ISNUMBER(Y37),COUNTIF('Papers'!$C$2:$C$56,V37)&gt;0,COUNTIF('Papers'!$C$2:$C$56,X37)&gt;0),"Both selected papers covered","Partial / missing selected-paper coverage")</x:f>
        <x:v>Partial / missing selected-paper coverage</x:v>
      </x:c>
      <x:c r="AB37" s="52" t="str">
        <x:v>2026-09-02</x:v>
      </x:c>
    </x:row>
    <x:row r="38">
      <x:c r="A38" s="50"/>
      <x:c r="B38" s="47" t="str">
        <x:v>R044</x:v>
      </x:c>
      <x:c r="C38" s="47" t="str">
        <x:v>Elliot Chane-Sane</x:v>
      </x:c>
      <x:c r="D38" s="47" t="str">
        <x:v>Europe</x:v>
      </x:c>
      <x:c r="E38" s="47" t="str">
        <x:v>Inria / ENS Paris</x:v>
      </x:c>
      <x:c r="F38" s="47" t="str">
        <x:v>U2</x:v>
      </x:c>
      <x:c r="G38" s="47" t="str">
        <x:v>Direct policy</x:v>
      </x:c>
      <x:c r="H38" s="47" t="str">
        <x:v>Bridger</x:v>
      </x:c>
      <x:c r="I38" s="50" t="n">
        <x:v>0</x:v>
      </x:c>
      <x:c r="J38" s="50" t="n">
        <x:v>2</x:v>
      </x:c>
      <x:c r="K38" s="50" t="n">
        <x:v>3</x:v>
      </x:c>
      <x:c r="L38" s="47" t="str">
        <x:v>Emerging</x:v>
      </x:c>
      <x:c r="M38" s="47" t="str">
        <x:v>Yes</x:v>
      </x:c>
      <x:c r="N38" s="47" t="str">
        <x:v>No</x:v>
      </x:c>
      <x:c r="O38" s="47" t="str">
        <x:v>Video-conditioned learning</x:v>
      </x:c>
      <x:c r="P38" s="47" t="str">
        <x:v>Learning video-conditioned policies for unseen manipulation tasks</x:v>
      </x:c>
      <x:c r="Q38" s="47" t="str">
        <x:v>High</x:v>
      </x:c>
      <x:c r="R38" s="47" t="str">
        <x:v>Direct European bridge paper</x:v>
      </x:c>
      <x:c r="S38" s="47" t="str">
        <x:v>https://arxiv.org/abs/2305.06289</x:v>
      </x:c>
      <x:c r="T38" s="47" t="str">
        <x:v>https://arxiv.org/abs/2305.06289</x:v>
      </x:c>
      <x:c r="U38" s="47" t="str">
        <x:v>https://arxiv.org/abs/2305.06289</x:v>
      </x:c>
      <x:c r="V38" s="47" t="str">
        <x:v>P023</x:v>
      </x:c>
      <x:c r="W38" s="50" t="n">
        <x:v>37</x:v>
      </x:c>
      <x:c r="X38" s="47" t="str">
        <x:v>P023</x:v>
      </x:c>
      <x:c r="Y38" s="50" t="n">
        <x:v>37</x:v>
      </x:c>
      <x:c r="Z38" s="51" t="str">
        <x:f>IF(OR(N38&lt;&gt;"Yes",AA38&lt;&gt;"Both selected papers covered"),"",SQRT((W38+1)*(Y38+1))*IF(Q38="High",1,0.8))</x:f>
      </x:c>
      <x:c r="AA38" s="47" t="str">
        <x:f>IF(AND(V38&lt;&gt;"",ISNUMBER(W38),X38&lt;&gt;"",ISNUMBER(Y38),COUNTIF('Papers'!$C$2:$C$56,V38)&gt;0,COUNTIF('Papers'!$C$2:$C$56,X38)&gt;0),"Both selected papers covered","Partial / missing selected-paper coverage")</x:f>
        <x:v>Both selected papers covered</x:v>
      </x:c>
      <x:c r="AB38" s="52" t="str">
        <x:v>2026-09-02</x:v>
      </x:c>
    </x:row>
    <x:row r="39">
      <x:c r="A39" s="50"/>
      <x:c r="B39" s="47" t="str">
        <x:v>R007</x:v>
      </x:c>
      <x:c r="C39" s="47" t="str">
        <x:v>João Carreira</x:v>
      </x:c>
      <x:c r="D39" s="47" t="str">
        <x:v>Europe</x:v>
      </x:c>
      <x:c r="E39" s="47" t="str">
        <x:v>Google DeepMind London</x:v>
      </x:c>
      <x:c r="F39" s="47" t="str">
        <x:v>U1</x:v>
      </x:c>
      <x:c r="G39" s="47" t="str">
        <x:v>Perception backbone</x:v>
      </x:c>
      <x:c r="H39" s="47" t="str">
        <x:v>Bridger</x:v>
      </x:c>
      <x:c r="I39" s="50" t="n">
        <x:v>2</x:v>
      </x:c>
      <x:c r="J39" s="50" t="n">
        <x:v>3</x:v>
      </x:c>
      <x:c r="K39" s="50" t="n">
        <x:v>2</x:v>
      </x:c>
      <x:c r="L39" s="47" t="str">
        <x:v>Yes</x:v>
      </x:c>
      <x:c r="M39" s="47" t="str">
        <x:v>Emerging</x:v>
      </x:c>
      <x:c r="N39" s="47" t="str">
        <x:v>No</x:v>
      </x:c>
      <x:c r="O39" s="47" t="str">
        <x:v>SlowFast; VideoPoet; TAP-Vid</x:v>
      </x:c>
      <x:c r="P39" s="47" t="str">
        <x:v>Embodied/world-model work</x:v>
      </x:c>
      <x:c r="Q39" s="47" t="str">
        <x:v>Medium</x:v>
      </x:c>
      <x:c r="R39" s="47" t="str">
        <x:v>Spans understanding and generation; robotics link mostly enabling architecture</x:v>
      </x:c>
      <x:c r="S39" s="47" t="str">
        <x:v>https://scholar.google.com/citations?user=IUZ-7_cAAAAJ</x:v>
      </x:c>
      <x:c r="T39" s="47" t="str">
        <x:v>https://arxiv.org/abs/1812.03982</x:v>
      </x:c>
      <x:c r="U39" s="47" t="str">
        <x:v>https://arxiv.org/abs/2312.00598</x:v>
      </x:c>
      <x:c r="V39" s="47" t="str">
        <x:v>P007</x:v>
      </x:c>
      <x:c r="W39" s="50" t="n">
        <x:v>586</x:v>
      </x:c>
      <x:c r="X39" s="47" t="str">
        <x:v>P006</x:v>
      </x:c>
      <x:c r="Y39" s="50" t="n">
        <x:v>332</x:v>
      </x:c>
      <x:c r="Z39" s="51" t="str">
        <x:f>IF(OR(N39&lt;&gt;"Yes",AA39&lt;&gt;"Both selected papers covered"),"",SQRT((W39+1)*(Y39+1))*IF(Q39="High",1,0.8))</x:f>
      </x:c>
      <x:c r="AA39" s="47" t="str">
        <x:f>IF(AND(V39&lt;&gt;"",ISNUMBER(W39),X39&lt;&gt;"",ISNUMBER(Y39),COUNTIF('Papers'!$C$2:$C$56,V39)&gt;0,COUNTIF('Papers'!$C$2:$C$56,X39)&gt;0),"Both selected papers covered","Partial / missing selected-paper coverage")</x:f>
        <x:v>Both selected papers covered</x:v>
      </x:c>
      <x:c r="AB39" s="52" t="str">
        <x:v>2026-09-02</x:v>
      </x:c>
    </x:row>
    <x:row r="40">
      <x:c r="A40" s="50"/>
      <x:c r="B40" s="47" t="str">
        <x:v>R003</x:v>
      </x:c>
      <x:c r="C40" s="47" t="str">
        <x:v>José Lezama</x:v>
      </x:c>
      <x:c r="D40" s="47" t="str">
        <x:v>US</x:v>
      </x:c>
      <x:c r="E40" s="47" t="str">
        <x:v>Google Research / DeepMind</x:v>
      </x:c>
      <x:c r="F40" s="47" t="str">
        <x:v>G1</x:v>
      </x:c>
      <x:c r="G40" s="47" t="str">
        <x:v>World simulation</x:v>
      </x:c>
      <x:c r="H40" s="47" t="str">
        <x:v>Bridger</x:v>
      </x:c>
      <x:c r="I40" s="50" t="n">
        <x:v>3</x:v>
      </x:c>
      <x:c r="J40" s="50" t="n">
        <x:v>1</x:v>
      </x:c>
      <x:c r="K40" s="50" t="n">
        <x:v>2</x:v>
      </x:c>
      <x:c r="L40" s="47" t="str">
        <x:v>Yes</x:v>
      </x:c>
      <x:c r="M40" s="47" t="str">
        <x:v>Emerging</x:v>
      </x:c>
      <x:c r="N40" s="47" t="str">
        <x:v>No</x:v>
      </x:c>
      <x:c r="O40" s="47" t="str">
        <x:v>WALT</x:v>
      </x:c>
      <x:c r="P40" s="47" t="str">
        <x:v>Interactive world-model work</x:v>
      </x:c>
      <x:c r="Q40" s="47" t="str">
        <x:v>Medium</x:v>
      </x:c>
      <x:c r="R40" s="47" t="str">
        <x:v>Generation-heavy; robotics link is world simulation</x:v>
      </x:c>
      <x:c r="S40" s="47" t="str">
        <x:v>https://jlezama.github.io/</x:v>
      </x:c>
      <x:c r="T40" s="47" t="str">
        <x:v>https://arxiv.org/abs/2312.06662</x:v>
      </x:c>
      <x:c r="U40" s="47" t="str">
        <x:v>https://deepmind.google/discover/blog/genie-2-a-large-scale-foundation-world-model/</x:v>
      </x:c>
      <x:c r="V40" s="47" t="str">
        <x:v>P001</x:v>
      </x:c>
      <x:c r="W40" s="50" t="n">
        <x:v>391</x:v>
      </x:c>
      <x:c r="X40" s="47"/>
      <x:c r="Y40" s="50"/>
      <x:c r="Z40" s="51" t="str">
        <x:f>IF(OR(N40&lt;&gt;"Yes",AA40&lt;&gt;"Both selected papers covered"),"",SQRT((W40+1)*(Y40+1))*IF(Q40="High",1,0.8))</x:f>
      </x:c>
      <x:c r="AA40" s="47" t="str">
        <x:f>IF(AND(V40&lt;&gt;"",ISNUMBER(W40),X40&lt;&gt;"",ISNUMBER(Y40),COUNTIF('Papers'!$C$2:$C$56,V40)&gt;0,COUNTIF('Papers'!$C$2:$C$56,X40)&gt;0),"Both selected papers covered","Partial / missing selected-paper coverage")</x:f>
        <x:v>Partial / missing selected-paper coverage</x:v>
      </x:c>
      <x:c r="AB40" s="52" t="str">
        <x:v>2026-09-02</x:v>
      </x:c>
    </x:row>
    <x:row r="41">
      <x:c r="A41" s="50"/>
      <x:c r="B41" s="47" t="str">
        <x:v>R041</x:v>
      </x:c>
      <x:c r="C41" s="47" t="str">
        <x:v>Karthik Dharmarajan</x:v>
      </x:c>
      <x:c r="D41" s="47" t="str">
        <x:v>US</x:v>
      </x:c>
      <x:c r="E41" s="47" t="str">
        <x:v>Stanford</x:v>
      </x:c>
      <x:c r="F41" s="47" t="str">
        <x:v>G1</x:v>
      </x:c>
      <x:c r="G41" s="47" t="str">
        <x:v>Planning</x:v>
      </x:c>
      <x:c r="H41" s="47" t="str">
        <x:v>Bridger</x:v>
      </x:c>
      <x:c r="I41" s="50" t="n">
        <x:v>2</x:v>
      </x:c>
      <x:c r="J41" s="50" t="n">
        <x:v>1</x:v>
      </x:c>
      <x:c r="K41" s="50" t="n">
        <x:v>3</x:v>
      </x:c>
      <x:c r="L41" s="47" t="str">
        <x:v>Emerging</x:v>
      </x:c>
      <x:c r="M41" s="47" t="str">
        <x:v>Emerging</x:v>
      </x:c>
      <x:c r="N41" s="47" t="str">
        <x:v>No</x:v>
      </x:c>
      <x:c r="O41" s="47" t="str">
        <x:v>Video generation</x:v>
      </x:c>
      <x:c r="P41" s="47" t="str">
        <x:v>Dream2Flow</x:v>
      </x:c>
      <x:c r="Q41" s="47" t="str">
        <x:v>Medium</x:v>
      </x:c>
      <x:c r="R41" s="47" t="str">
        <x:v>Early-career recent bridge</x:v>
      </x:c>
      <x:c r="S41" s="47" t="str">
        <x:v>https://jiajunwu.com/</x:v>
      </x:c>
      <x:c r="T41" s="47" t="str">
        <x:v>https://jiajunwu.com/</x:v>
      </x:c>
      <x:c r="U41" s="47" t="str">
        <x:v>https://jiajunwu.com/</x:v>
      </x:c>
      <x:c r="V41" s="47" t="str">
        <x:v>P026</x:v>
      </x:c>
      <x:c r="W41" s="50" t="n">
        <x:v>8</x:v>
      </x:c>
      <x:c r="X41" s="47" t="str">
        <x:v>P026</x:v>
      </x:c>
      <x:c r="Y41" s="50" t="n">
        <x:v>8</x:v>
      </x:c>
      <x:c r="Z41" s="51" t="str">
        <x:f>IF(OR(N41&lt;&gt;"Yes",AA41&lt;&gt;"Both selected papers covered"),"",SQRT((W41+1)*(Y41+1))*IF(Q41="High",1,0.8))</x:f>
      </x:c>
      <x:c r="AA41" s="47" t="str">
        <x:f>IF(AND(V41&lt;&gt;"",ISNUMBER(W41),X41&lt;&gt;"",ISNUMBER(Y41),COUNTIF('Papers'!$C$2:$C$56,V41)&gt;0,COUNTIF('Papers'!$C$2:$C$56,X41)&gt;0),"Both selected papers covered","Partial / missing selected-paper coverage")</x:f>
        <x:v>Both selected papers covered</x:v>
      </x:c>
      <x:c r="AB41" s="52" t="str">
        <x:v>2026-09-02</x:v>
      </x:c>
    </x:row>
    <x:row r="42">
      <x:c r="A42" s="50"/>
      <x:c r="B42" s="47" t="str">
        <x:v>R038</x:v>
      </x:c>
      <x:c r="C42" s="47" t="str">
        <x:v>Kevin Black</x:v>
      </x:c>
      <x:c r="D42" s="47" t="str">
        <x:v>US</x:v>
      </x:c>
      <x:c r="E42" s="47" t="str">
        <x:v>Physical Intelligence</x:v>
      </x:c>
      <x:c r="F42" s="47" t="str">
        <x:v>U2</x:v>
      </x:c>
      <x:c r="G42" s="47" t="str">
        <x:v>Direct policy</x:v>
      </x:c>
      <x:c r="H42" s="47" t="str">
        <x:v>Robotics-first</x:v>
      </x:c>
      <x:c r="I42" s="50" t="n">
        <x:v>0</x:v>
      </x:c>
      <x:c r="J42" s="50" t="n">
        <x:v>2</x:v>
      </x:c>
      <x:c r="K42" s="50" t="n">
        <x:v>3</x:v>
      </x:c>
      <x:c r="L42" s="47" t="str">
        <x:v>No</x:v>
      </x:c>
      <x:c r="M42" s="47" t="str">
        <x:v>Yes</x:v>
      </x:c>
      <x:c r="N42" s="47" t="str">
        <x:v>No</x:v>
      </x:c>
      <x:c r="O42" s="47" t="str">
        <x:v>Visual representation use</x:v>
      </x:c>
      <x:c r="P42" s="47" t="str">
        <x:v>π0</x:v>
      </x:c>
      <x:c r="Q42" s="47" t="str">
        <x:v>High</x:v>
      </x:c>
      <x:c r="R42" s="47" t="str">
        <x:v>Control case: important robotics author without video-origin evidence</x:v>
      </x:c>
      <x:c r="S42" s="47" t="str">
        <x:v>https://www.physicalintelligence.company/blog/pi0</x:v>
      </x:c>
      <x:c r="T42" s="47" t="str">
        <x:v>https://www.physicalintelligence.company/blog/pi0</x:v>
      </x:c>
      <x:c r="U42" s="47" t="str">
        <x:v>https://www.physicalintelligence.company/blog/pi0</x:v>
      </x:c>
      <x:c r="V42" s="47"/>
      <x:c r="W42" s="50"/>
      <x:c r="X42" s="47" t="str">
        <x:v>P030</x:v>
      </x:c>
      <x:c r="Y42" s="50" t="n">
        <x:v>1508</x:v>
      </x:c>
      <x:c r="Z42" s="51" t="str">
        <x:f>IF(OR(N42&lt;&gt;"Yes",AA42&lt;&gt;"Both selected papers covered"),"",SQRT((W42+1)*(Y42+1))*IF(Q42="High",1,0.8))</x:f>
      </x:c>
      <x:c r="AA42" s="47" t="str">
        <x:f>IF(AND(V42&lt;&gt;"",ISNUMBER(W42),X42&lt;&gt;"",ISNUMBER(Y42),COUNTIF('Papers'!$C$2:$C$56,V42)&gt;0,COUNTIF('Papers'!$C$2:$C$56,X42)&gt;0),"Both selected papers covered","Partial / missing selected-paper coverage")</x:f>
        <x:v>Partial / missing selected-paper coverage</x:v>
      </x:c>
      <x:c r="AB42" s="52" t="str">
        <x:v>2026-09-02</x:v>
      </x:c>
    </x:row>
    <x:row r="43">
      <x:c r="A43" s="50"/>
      <x:c r="B43" s="47" t="str">
        <x:v>R002</x:v>
      </x:c>
      <x:c r="C43" s="47" t="str">
        <x:v>Lijun Yu</x:v>
      </x:c>
      <x:c r="D43" s="47" t="str">
        <x:v>US</x:v>
      </x:c>
      <x:c r="E43" s="47" t="str">
        <x:v>Google Research / DeepMind</x:v>
      </x:c>
      <x:c r="F43" s="47" t="str">
        <x:v>G1</x:v>
      </x:c>
      <x:c r="G43" s="47" t="str">
        <x:v>World simulation</x:v>
      </x:c>
      <x:c r="H43" s="47" t="str">
        <x:v>Bridger</x:v>
      </x:c>
      <x:c r="I43" s="50" t="n">
        <x:v>3</x:v>
      </x:c>
      <x:c r="J43" s="50" t="n">
        <x:v>1</x:v>
      </x:c>
      <x:c r="K43" s="50" t="n">
        <x:v>2</x:v>
      </x:c>
      <x:c r="L43" s="47" t="str">
        <x:v>Yes</x:v>
      </x:c>
      <x:c r="M43" s="47" t="str">
        <x:v>Emerging</x:v>
      </x:c>
      <x:c r="N43" s="47" t="str">
        <x:v>No</x:v>
      </x:c>
      <x:c r="O43" s="47" t="str">
        <x:v>WALT; MAGVIT-v2</x:v>
      </x:c>
      <x:c r="P43" s="47" t="str">
        <x:v>Genie / interactive world modeling</x:v>
      </x:c>
      <x:c r="Q43" s="47" t="str">
        <x:v>Medium</x:v>
      </x:c>
      <x:c r="R43" s="47" t="str">
        <x:v>Pixel/token video generation to interactive worlds</x:v>
      </x:c>
      <x:c r="S43" s="47" t="str">
        <x:v>https://me.lj-y.com/</x:v>
      </x:c>
      <x:c r="T43" s="47" t="str">
        <x:v>https://arxiv.org/abs/2312.06662</x:v>
      </x:c>
      <x:c r="U43" s="47" t="str">
        <x:v>https://deepmind.google/discover/blog/genie-2-a-large-scale-foundation-world-model/</x:v>
      </x:c>
      <x:c r="V43" s="47" t="str">
        <x:v>P001</x:v>
      </x:c>
      <x:c r="W43" s="50" t="n">
        <x:v>391</x:v>
      </x:c>
      <x:c r="X43" s="47"/>
      <x:c r="Y43" s="50"/>
      <x:c r="Z43" s="51" t="str">
        <x:f>IF(OR(N43&lt;&gt;"Yes",AA43&lt;&gt;"Both selected papers covered"),"",SQRT((W43+1)*(Y43+1))*IF(Q43="High",1,0.8))</x:f>
      </x:c>
      <x:c r="AA43" s="47" t="str">
        <x:f>IF(AND(V43&lt;&gt;"",ISNUMBER(W43),X43&lt;&gt;"",ISNUMBER(Y43),COUNTIF('Papers'!$C$2:$C$56,V43)&gt;0,COUNTIF('Papers'!$C$2:$C$56,X43)&gt;0),"Both selected papers covered","Partial / missing selected-paper coverage")</x:f>
        <x:v>Partial / missing selected-paper coverage</x:v>
      </x:c>
      <x:c r="AB43" s="52" t="str">
        <x:v>2026-09-02</x:v>
      </x:c>
    </x:row>
    <x:row r="44">
      <x:c r="A44" s="50"/>
      <x:c r="B44" s="47" t="str">
        <x:v>R027</x:v>
      </x:c>
      <x:c r="C44" s="47" t="str">
        <x:v>Mohammad Babaeizadeh</x:v>
      </x:c>
      <x:c r="D44" s="47" t="str">
        <x:v>US</x:v>
      </x:c>
      <x:c r="E44" s="47" t="str">
        <x:v>Google / NVIDIA</x:v>
      </x:c>
      <x:c r="F44" s="47" t="str">
        <x:v>G2</x:v>
      </x:c>
      <x:c r="G44" s="47" t="str">
        <x:v>World simulation</x:v>
      </x:c>
      <x:c r="H44" s="47" t="str">
        <x:v>Bridger</x:v>
      </x:c>
      <x:c r="I44" s="50" t="n">
        <x:v>3</x:v>
      </x:c>
      <x:c r="J44" s="50" t="n">
        <x:v>1</x:v>
      </x:c>
      <x:c r="K44" s="50" t="n">
        <x:v>2</x:v>
      </x:c>
      <x:c r="L44" s="47" t="str">
        <x:v>Yes</x:v>
      </x:c>
      <x:c r="M44" s="47" t="str">
        <x:v>Emerging</x:v>
      </x:c>
      <x:c r="N44" s="47" t="str">
        <x:v>No</x:v>
      </x:c>
      <x:c r="O44" s="47" t="str">
        <x:v>SV2P; FitVid</x:v>
      </x:c>
      <x:c r="P44" s="47" t="str">
        <x:v>Robot/world simulation</x:v>
      </x:c>
      <x:c r="Q44" s="47" t="str">
        <x:v>High</x:v>
      </x:c>
      <x:c r="R44" s="47" t="str">
        <x:v>Important stochastic video prediction lineage</x:v>
      </x:c>
      <x:c r="S44" s="47" t="str">
        <x:v>https://scholar.google.com/scholar?q=Mohammad+Babaeizadeh+video+prediction</x:v>
      </x:c>
      <x:c r="T44" s="47" t="str">
        <x:v>https://arxiv.org/abs/1710.11252</x:v>
      </x:c>
      <x:c r="U44" s="47" t="str">
        <x:v>https://arxiv.org/abs/2106.13195</x:v>
      </x:c>
      <x:c r="V44" s="47" t="str">
        <x:v>P008</x:v>
      </x:c>
      <x:c r="W44" s="50" t="n">
        <x:v>760</x:v>
      </x:c>
      <x:c r="X44" s="47" t="str">
        <x:v>P010</x:v>
      </x:c>
      <x:c r="Y44" s="50" t="n">
        <x:v>135</x:v>
      </x:c>
      <x:c r="Z44" s="51" t="str">
        <x:f>IF(OR(N44&lt;&gt;"Yes",AA44&lt;&gt;"Both selected papers covered"),"",SQRT((W44+1)*(Y44+1))*IF(Q44="High",1,0.8))</x:f>
      </x:c>
      <x:c r="AA44" s="47" t="str">
        <x:f>IF(AND(V44&lt;&gt;"",ISNUMBER(W44),X44&lt;&gt;"",ISNUMBER(Y44),COUNTIF('Papers'!$C$2:$C$56,V44)&gt;0,COUNTIF('Papers'!$C$2:$C$56,X44)&gt;0),"Both selected papers covered","Partial / missing selected-paper coverage")</x:f>
        <x:v>Both selected papers covered</x:v>
      </x:c>
      <x:c r="AB44" s="52" t="str">
        <x:v>2026-09-02</x:v>
      </x:c>
    </x:row>
    <x:row r="45">
      <x:c r="A45" s="50"/>
      <x:c r="B45" s="47" t="str">
        <x:v>R021</x:v>
      </x:c>
      <x:c r="C45" s="47" t="str">
        <x:v>Moo Jin Kim</x:v>
      </x:c>
      <x:c r="D45" s="47" t="str">
        <x:v>US</x:v>
      </x:c>
      <x:c r="E45" s="47" t="str">
        <x:v>NVIDIA / Stanford</x:v>
      </x:c>
      <x:c r="F45" s="47" t="str">
        <x:v>G2</x:v>
      </x:c>
      <x:c r="G45" s="47" t="str">
        <x:v>Direct policy</x:v>
      </x:c>
      <x:c r="H45" s="47" t="str">
        <x:v>Bridger</x:v>
      </x:c>
      <x:c r="I45" s="50" t="n">
        <x:v>2</x:v>
      </x:c>
      <x:c r="J45" s="50" t="n">
        <x:v>1</x:v>
      </x:c>
      <x:c r="K45" s="50" t="n">
        <x:v>3</x:v>
      </x:c>
      <x:c r="L45" s="47" t="str">
        <x:v>Emerging</x:v>
      </x:c>
      <x:c r="M45" s="47" t="str">
        <x:v>Yes</x:v>
      </x:c>
      <x:c r="N45" s="47" t="str">
        <x:v>No</x:v>
      </x:c>
      <x:c r="O45" s="47" t="str">
        <x:v>Cosmos-Predict lineage</x:v>
      </x:c>
      <x:c r="P45" s="47" t="str">
        <x:v>Cosmos Policy</x:v>
      </x:c>
      <x:c r="Q45" s="47" t="str">
        <x:v>High</x:v>
      </x:c>
      <x:c r="R45" s="47" t="str">
        <x:v>Lead robotics transfer of generative video foundation model</x:v>
      </x:c>
      <x:c r="S45" s="47" t="str">
        <x:v>https://research.nvidia.com/labs/cosmos-lab/cosmos-policy/</x:v>
      </x:c>
      <x:c r="T45" s="47" t="str">
        <x:v>https://arxiv.org/abs/2501.03575</x:v>
      </x:c>
      <x:c r="U45" s="47" t="str">
        <x:v>https://arxiv.org/abs/2601.16163</x:v>
      </x:c>
      <x:c r="V45" s="47" t="str">
        <x:v>P016</x:v>
      </x:c>
      <x:c r="W45" s="50" t="n">
        <x:v>740</x:v>
      </x:c>
      <x:c r="X45" s="47" t="str">
        <x:v>P017</x:v>
      </x:c>
      <x:c r="Y45" s="50" t="n">
        <x:v>193</x:v>
      </x:c>
      <x:c r="Z45" s="51" t="str">
        <x:f>IF(OR(N45&lt;&gt;"Yes",AA45&lt;&gt;"Both selected papers covered"),"",SQRT((W45+1)*(Y45+1))*IF(Q45="High",1,0.8))</x:f>
      </x:c>
      <x:c r="AA45" s="47" t="str">
        <x:f>IF(AND(V45&lt;&gt;"",ISNUMBER(W45),X45&lt;&gt;"",ISNUMBER(Y45),COUNTIF('Papers'!$C$2:$C$56,V45)&gt;0,COUNTIF('Papers'!$C$2:$C$56,X45)&gt;0),"Both selected papers covered","Partial / missing selected-paper coverage")</x:f>
        <x:v>Both selected papers covered</x:v>
      </x:c>
      <x:c r="AB45" s="52" t="str">
        <x:v>2026-09-02</x:v>
      </x:c>
    </x:row>
    <x:row r="46">
      <x:c r="A46" s="50"/>
      <x:c r="B46" s="47" t="str">
        <x:v>R050</x:v>
      </x:c>
      <x:c r="C46" s="47" t="str">
        <x:v>Oliver Groth</x:v>
      </x:c>
      <x:c r="D46" s="47" t="str">
        <x:v>Europe</x:v>
      </x:c>
      <x:c r="E46" s="47" t="str">
        <x:v>Google DeepMind London</x:v>
      </x:c>
      <x:c r="F46" s="47" t="str">
        <x:v>G2</x:v>
      </x:c>
      <x:c r="G46" s="47" t="str">
        <x:v>World simulation</x:v>
      </x:c>
      <x:c r="H46" s="47" t="str">
        <x:v>Bridger</x:v>
      </x:c>
      <x:c r="I46" s="50" t="n">
        <x:v>2</x:v>
      </x:c>
      <x:c r="J46" s="50" t="n">
        <x:v>2</x:v>
      </x:c>
      <x:c r="K46" s="50" t="n">
        <x:v>3</x:v>
      </x:c>
      <x:c r="L46" s="47" t="str">
        <x:v>Yes</x:v>
      </x:c>
      <x:c r="M46" s="47" t="str">
        <x:v>Yes</x:v>
      </x:c>
      <x:c r="N46" s="47" t="str">
        <x:v>Yes</x:v>
      </x:c>
      <x:c r="O46" s="47" t="str">
        <x:v>Object-centric video prediction</x:v>
      </x:c>
      <x:c r="P46" s="47" t="str">
        <x:v>Visual dynamics for control</x:v>
      </x:c>
      <x:c r="Q46" s="47" t="str">
        <x:v>High</x:v>
      </x:c>
      <x:c r="R46" s="47" t="str">
        <x:v>European object-centric world-model bridge</x:v>
      </x:c>
      <x:c r="S46" s="47" t="str">
        <x:v>https://scholar.google.com/scholar?q=Oliver+Groth+video+robotics</x:v>
      </x:c>
      <x:c r="T46" s="47" t="str">
        <x:v>https://arxiv.org/abs/1806.07857</x:v>
      </x:c>
      <x:c r="U46" s="47" t="str">
        <x:v>https://arxiv.org/abs/1806.07857</x:v>
      </x:c>
      <x:c r="V46" s="47"/>
      <x:c r="W46" s="50"/>
      <x:c r="X46" s="47"/>
      <x:c r="Y46" s="50"/>
      <x:c r="Z46" s="51" t="str">
        <x:f>IF(OR(N46&lt;&gt;"Yes",AA46&lt;&gt;"Both selected papers covered"),"",SQRT((W46+1)*(Y46+1))*IF(Q46="High",1,0.8))</x:f>
      </x:c>
      <x:c r="AA46" s="47" t="str">
        <x:f>IF(AND(V46&lt;&gt;"",ISNUMBER(W46),X46&lt;&gt;"",ISNUMBER(Y46),COUNTIF('Papers'!$C$2:$C$56,V46)&gt;0,COUNTIF('Papers'!$C$2:$C$56,X46)&gt;0),"Both selected papers covered","Partial / missing selected-paper coverage")</x:f>
        <x:v>Partial / missing selected-paper coverage</x:v>
      </x:c>
      <x:c r="AB46" s="52" t="str">
        <x:v>2026-09-02</x:v>
      </x:c>
    </x:row>
    <x:row r="47">
      <x:c r="A47" s="50"/>
      <x:c r="B47" s="47" t="str">
        <x:v>R045</x:v>
      </x:c>
      <x:c r="C47" s="47" t="str">
        <x:v>Patrick Guhur</x:v>
      </x:c>
      <x:c r="D47" s="47" t="str">
        <x:v>Europe</x:v>
      </x:c>
      <x:c r="E47" s="47" t="str">
        <x:v>Inria / ENS Paris</x:v>
      </x:c>
      <x:c r="F47" s="47" t="str">
        <x:v>VL</x:v>
      </x:c>
      <x:c r="G47" s="47" t="str">
        <x:v>Direct policy</x:v>
      </x:c>
      <x:c r="H47" s="47" t="str">
        <x:v>Bridger</x:v>
      </x:c>
      <x:c r="I47" s="50" t="n">
        <x:v>0</x:v>
      </x:c>
      <x:c r="J47" s="50" t="n">
        <x:v>2</x:v>
      </x:c>
      <x:c r="K47" s="50" t="n">
        <x:v>3</x:v>
      </x:c>
      <x:c r="L47" s="47" t="str">
        <x:v>Emerging</x:v>
      </x:c>
      <x:c r="M47" s="47" t="str">
        <x:v>Yes</x:v>
      </x:c>
      <x:c r="N47" s="47" t="str">
        <x:v>No</x:v>
      </x:c>
      <x:c r="O47" s="47" t="str">
        <x:v>Video-language / history-aware perception</x:v>
      </x:c>
      <x:c r="P47" s="47" t="str">
        <x:v>Instruction-driven history-aware robot policies</x:v>
      </x:c>
      <x:c r="Q47" s="47" t="str">
        <x:v>High</x:v>
      </x:c>
      <x:c r="R47" s="47" t="str">
        <x:v>Video-language understanding to manipulation</x:v>
      </x:c>
      <x:c r="S47" s="47" t="str">
        <x:v>https://scholar.google.com/scholar?q=Patrick+Guhur+robotics</x:v>
      </x:c>
      <x:c r="T47" s="47" t="str">
        <x:v>https://arxiv.org/abs/2404.15709</x:v>
      </x:c>
      <x:c r="U47" s="47" t="str">
        <x:v>https://arxiv.org/abs/2404.15709</x:v>
      </x:c>
      <x:c r="V47" s="47" t="str">
        <x:v>P022</x:v>
      </x:c>
      <x:c r="W47" s="50" t="n">
        <x:v>62</x:v>
      </x:c>
      <x:c r="X47" s="47" t="str">
        <x:v>P022</x:v>
      </x:c>
      <x:c r="Y47" s="50" t="n">
        <x:v>62</x:v>
      </x:c>
      <x:c r="Z47" s="51" t="str">
        <x:f>IF(OR(N47&lt;&gt;"Yes",AA47&lt;&gt;"Both selected papers covered"),"",SQRT((W47+1)*(Y47+1))*IF(Q47="High",1,0.8))</x:f>
      </x:c>
      <x:c r="AA47" s="47" t="str">
        <x:f>IF(AND(V47&lt;&gt;"",ISNUMBER(W47),X47&lt;&gt;"",ISNUMBER(Y47),COUNTIF('Papers'!$C$2:$C$56,V47)&gt;0,COUNTIF('Papers'!$C$2:$C$56,X47)&gt;0),"Both selected papers covered","Partial / missing selected-paper coverage")</x:f>
        <x:v>Both selected papers covered</x:v>
      </x:c>
      <x:c r="AB47" s="52" t="str">
        <x:v>2026-09-02</x:v>
      </x:c>
    </x:row>
    <x:row r="48">
      <x:c r="A48" s="50"/>
      <x:c r="B48" s="47" t="str">
        <x:v>R039</x:v>
      </x:c>
      <x:c r="C48" s="47" t="str">
        <x:v>Ruohan Zhang</x:v>
      </x:c>
      <x:c r="D48" s="47" t="str">
        <x:v>US</x:v>
      </x:c>
      <x:c r="E48" s="47" t="str">
        <x:v>Stanford</x:v>
      </x:c>
      <x:c r="F48" s="47" t="str">
        <x:v>G1</x:v>
      </x:c>
      <x:c r="G48" s="47" t="str">
        <x:v>Planning</x:v>
      </x:c>
      <x:c r="H48" s="47" t="str">
        <x:v>Native hybrid</x:v>
      </x:c>
      <x:c r="I48" s="50" t="n">
        <x:v>2</x:v>
      </x:c>
      <x:c r="J48" s="50" t="n">
        <x:v>2</x:v>
      </x:c>
      <x:c r="K48" s="50" t="n">
        <x:v>3</x:v>
      </x:c>
      <x:c r="L48" s="47" t="str">
        <x:v>Emerging</x:v>
      </x:c>
      <x:c r="M48" s="47" t="str">
        <x:v>Yes</x:v>
      </x:c>
      <x:c r="N48" s="47" t="str">
        <x:v>No</x:v>
      </x:c>
      <x:c r="O48" s="47" t="str">
        <x:v>Generative/embodied visual work</x:v>
      </x:c>
      <x:c r="P48" s="47" t="str">
        <x:v>Dream2Flow</x:v>
      </x:c>
      <x:c r="Q48" s="47" t="str">
        <x:v>High</x:v>
      </x:c>
      <x:c r="R48" s="47" t="str">
        <x:v>Embodied generation and manipulation bridge</x:v>
      </x:c>
      <x:c r="S48" s="47" t="str">
        <x:v>https://ruohanzhang.com/</x:v>
      </x:c>
      <x:c r="T48" s="47" t="str">
        <x:v>https://jiajunwu.com/</x:v>
      </x:c>
      <x:c r="U48" s="47" t="str">
        <x:v>https://jiajunwu.com/</x:v>
      </x:c>
      <x:c r="V48" s="47" t="str">
        <x:v>P026</x:v>
      </x:c>
      <x:c r="W48" s="50" t="n">
        <x:v>8</x:v>
      </x:c>
      <x:c r="X48" s="47" t="str">
        <x:v>P026</x:v>
      </x:c>
      <x:c r="Y48" s="50" t="n">
        <x:v>8</x:v>
      </x:c>
      <x:c r="Z48" s="51" t="str">
        <x:f>IF(OR(N48&lt;&gt;"Yes",AA48&lt;&gt;"Both selected papers covered"),"",SQRT((W48+1)*(Y48+1))*IF(Q48="High",1,0.8))</x:f>
      </x:c>
      <x:c r="AA48" s="47" t="str">
        <x:f>IF(AND(V48&lt;&gt;"",ISNUMBER(W48),X48&lt;&gt;"",ISNUMBER(Y48),COUNTIF('Papers'!$C$2:$C$56,V48)&gt;0,COUNTIF('Papers'!$C$2:$C$56,X48)&gt;0),"Both selected papers covered","Partial / missing selected-paper coverage")</x:f>
        <x:v>Both selected papers covered</x:v>
      </x:c>
      <x:c r="AB48" s="52" t="str">
        <x:v>2026-09-02</x:v>
      </x:c>
    </x:row>
    <x:row r="49">
      <x:c r="A49" s="50"/>
      <x:c r="B49" s="47" t="str">
        <x:v>R051</x:v>
      </x:c>
      <x:c r="C49" s="47" t="str">
        <x:v>Samarth Sinha</x:v>
      </x:c>
      <x:c r="D49" s="47" t="str">
        <x:v>US</x:v>
      </x:c>
      <x:c r="E49" s="47" t="str">
        <x:v>Luma AI → 1X World Model Lab</x:v>
      </x:c>
      <x:c r="F49" s="47" t="str">
        <x:v>G1</x:v>
      </x:c>
      <x:c r="G49" s="47" t="str">
        <x:v>World simulation</x:v>
      </x:c>
      <x:c r="H49" s="47" t="str">
        <x:v>Switcher</x:v>
      </x:c>
      <x:c r="I49" s="50" t="n">
        <x:v>3</x:v>
      </x:c>
      <x:c r="J49" s="50" t="n">
        <x:v>1</x:v>
      </x:c>
      <x:c r="K49" s="50" t="n">
        <x:v>3</x:v>
      </x:c>
      <x:c r="L49" s="47" t="str">
        <x:v>Emerging</x:v>
      </x:c>
      <x:c r="M49" s="47" t="str">
        <x:v>Emerging</x:v>
      </x:c>
      <x:c r="N49" s="47" t="str">
        <x:v>No</x:v>
      </x:c>
      <x:c r="O49" s="47" t="str">
        <x:v>Video generation</x:v>
      </x:c>
      <x:c r="P49" s="47" t="str">
        <x:v>1X World Model</x:v>
      </x:c>
      <x:c r="Q49" s="47" t="str">
        <x:v>High</x:v>
      </x:c>
      <x:c r="R49" s="47" t="str">
        <x:v>Clear organizational move from video generation to robot world models</x:v>
      </x:c>
      <x:c r="S49" s="47" t="str">
        <x:v>https://www.samsinha.me/</x:v>
      </x:c>
      <x:c r="T49" s="47" t="str">
        <x:v>https://www.samsinha.me/</x:v>
      </x:c>
      <x:c r="U49" s="47" t="str">
        <x:v>https://www.1x.tech/discover/1x-world-model-lab</x:v>
      </x:c>
      <x:c r="V49" s="47" t="str">
        <x:v>P032</x:v>
      </x:c>
      <x:c r="W49" s="50" t="n">
        <x:v>5</x:v>
      </x:c>
      <x:c r="X49" s="47" t="str">
        <x:v>P032</x:v>
      </x:c>
      <x:c r="Y49" s="50" t="n">
        <x:v>5</x:v>
      </x:c>
      <x:c r="Z49" s="51" t="str">
        <x:f>IF(OR(N49&lt;&gt;"Yes",AA49&lt;&gt;"Both selected papers covered"),"",SQRT((W49+1)*(Y49+1))*IF(Q49="High",1,0.8))</x:f>
      </x:c>
      <x:c r="AA49" s="47" t="str">
        <x:f>IF(AND(V49&lt;&gt;"",ISNUMBER(W49),X49&lt;&gt;"",ISNUMBER(Y49),COUNTIF('Papers'!$C$2:$C$56,V49)&gt;0,COUNTIF('Papers'!$C$2:$C$56,X49)&gt;0),"Both selected papers covered","Partial / missing selected-paper coverage")</x:f>
        <x:v>Both selected papers covered</x:v>
      </x:c>
      <x:c r="AB49" s="52" t="str">
        <x:v>2026-09-02</x:v>
      </x:c>
    </x:row>
    <x:row r="50">
      <x:c r="A50" s="50"/>
      <x:c r="B50" s="47" t="str">
        <x:v>R037</x:v>
      </x:c>
      <x:c r="C50" s="47" t="str">
        <x:v>Suraj Nair</x:v>
      </x:c>
      <x:c r="D50" s="47" t="str">
        <x:v>US</x:v>
      </x:c>
      <x:c r="E50" s="47" t="str">
        <x:v>Stanford</x:v>
      </x:c>
      <x:c r="F50" s="47" t="str">
        <x:v>G1</x:v>
      </x:c>
      <x:c r="G50" s="47" t="str">
        <x:v>Reward / affordance</x:v>
      </x:c>
      <x:c r="H50" s="47" t="str">
        <x:v>Bridger</x:v>
      </x:c>
      <x:c r="I50" s="50" t="n">
        <x:v>2</x:v>
      </x:c>
      <x:c r="J50" s="50" t="n">
        <x:v>2</x:v>
      </x:c>
      <x:c r="K50" s="50" t="n">
        <x:v>3</x:v>
      </x:c>
      <x:c r="L50" s="47" t="str">
        <x:v>Emerging</x:v>
      </x:c>
      <x:c r="M50" s="47" t="str">
        <x:v>Yes</x:v>
      </x:c>
      <x:c r="N50" s="47" t="str">
        <x:v>No</x:v>
      </x:c>
      <x:c r="O50" s="47" t="str">
        <x:v>Generative goal imagery</x:v>
      </x:c>
      <x:c r="P50" s="47" t="str">
        <x:v>SuSIE</x:v>
      </x:c>
      <x:c r="Q50" s="47" t="str">
        <x:v>High</x:v>
      </x:c>
      <x:c r="R50" s="47" t="str">
        <x:v>Image/video generation supplies subgoals for robots</x:v>
      </x:c>
      <x:c r="S50" s="47" t="str">
        <x:v>https://suraj-nair-1.github.io/</x:v>
      </x:c>
      <x:c r="T50" s="47" t="str">
        <x:v>https://arxiv.org/abs/2310.10639</x:v>
      </x:c>
      <x:c r="U50" s="47" t="str">
        <x:v>https://arxiv.org/abs/2310.10639</x:v>
      </x:c>
      <x:c r="V50" s="47" t="str">
        <x:v>P037</x:v>
      </x:c>
      <x:c r="W50" s="50" t="n">
        <x:v>444</x:v>
      </x:c>
      <x:c r="X50" s="47" t="str">
        <x:v>P037</x:v>
      </x:c>
      <x:c r="Y50" s="50" t="n">
        <x:v>444</x:v>
      </x:c>
      <x:c r="Z50" s="51" t="str">
        <x:f>IF(OR(N50&lt;&gt;"Yes",AA50&lt;&gt;"Both selected papers covered"),"",SQRT((W50+1)*(Y50+1))*IF(Q50="High",1,0.8))</x:f>
      </x:c>
      <x:c r="AA50" s="47" t="str">
        <x:f>IF(AND(V50&lt;&gt;"",ISNUMBER(W50),X50&lt;&gt;"",ISNUMBER(Y50),COUNTIF('Papers'!$C$2:$C$56,V50)&gt;0,COUNTIF('Papers'!$C$2:$C$56,X50)&gt;0),"Both selected papers covered","Partial / missing selected-paper coverage")</x:f>
        <x:v>Both selected papers covered</x:v>
      </x:c>
      <x:c r="AB50" s="52" t="str">
        <x:v>2026-09-02</x:v>
      </x:c>
    </x:row>
    <x:row r="51">
      <x:c r="A51" s="50"/>
      <x:c r="B51" s="47" t="str">
        <x:v>R052</x:v>
      </x:c>
      <x:c r="C51" s="47" t="str">
        <x:v>Tim Brooks</x:v>
      </x:c>
      <x:c r="D51" s="47" t="str">
        <x:v>Europe</x:v>
      </x:c>
      <x:c r="E51" s="47" t="str">
        <x:v>OpenAI → Google DeepMind London</x:v>
      </x:c>
      <x:c r="F51" s="47" t="str">
        <x:v>G1</x:v>
      </x:c>
      <x:c r="G51" s="47" t="str">
        <x:v>World simulation</x:v>
      </x:c>
      <x:c r="H51" s="47" t="str">
        <x:v>Switcher</x:v>
      </x:c>
      <x:c r="I51" s="50" t="n">
        <x:v>3</x:v>
      </x:c>
      <x:c r="J51" s="50" t="n">
        <x:v>1</x:v>
      </x:c>
      <x:c r="K51" s="50" t="n">
        <x:v>2</x:v>
      </x:c>
      <x:c r="L51" s="47" t="str">
        <x:v>Yes</x:v>
      </x:c>
      <x:c r="M51" s="47" t="str">
        <x:v>Emerging</x:v>
      </x:c>
      <x:c r="N51" s="47" t="str">
        <x:v>No</x:v>
      </x:c>
      <x:c r="O51" s="47" t="str">
        <x:v>Sora / video generation</x:v>
      </x:c>
      <x:c r="P51" s="47" t="str">
        <x:v>Interactive world models</x:v>
      </x:c>
      <x:c r="Q51" s="47" t="str">
        <x:v>Medium</x:v>
      </x:c>
      <x:c r="R51" s="47" t="str">
        <x:v>Clear video→world-model move; physical-robot evidence still limited</x:v>
      </x:c>
      <x:c r="S51" s="47" t="str">
        <x:v>https://scholar.google.com/scholar?q=Tim+Brooks+video+generation</x:v>
      </x:c>
      <x:c r="T51" s="47" t="str">
        <x:v>https://openai.com/index/video-generation-models-as-world-simulators/</x:v>
      </x:c>
      <x:c r="U51" s="47" t="str">
        <x:v>https://deepmind.google/discover/blog/genie-2-a-large-scale-foundation-world-model/</x:v>
      </x:c>
      <x:c r="V51" s="47"/>
      <x:c r="W51" s="50"/>
      <x:c r="X51" s="47"/>
      <x:c r="Y51" s="50"/>
      <x:c r="Z51" s="51" t="str">
        <x:f>IF(OR(N51&lt;&gt;"Yes",AA51&lt;&gt;"Both selected papers covered"),"",SQRT((W51+1)*(Y51+1))*IF(Q51="High",1,0.8))</x:f>
      </x:c>
      <x:c r="AA51" s="47" t="str">
        <x:f>IF(AND(V51&lt;&gt;"",ISNUMBER(W51),X51&lt;&gt;"",ISNUMBER(Y51),COUNTIF('Papers'!$C$2:$C$56,V51)&gt;0,COUNTIF('Papers'!$C$2:$C$56,X51)&gt;0),"Both selected papers covered","Partial / missing selected-paper coverage")</x:f>
        <x:v>Partial / missing selected-paper coverage</x:v>
      </x:c>
      <x:c r="AB51" s="52" t="str">
        <x:v>2026-09-02</x:v>
      </x:c>
    </x:row>
    <x:row r="52">
      <x:c r="A52" s="50"/>
      <x:c r="B52" s="47" t="str">
        <x:v>R040</x:v>
      </x:c>
      <x:c r="C52" s="47" t="str">
        <x:v>Wenlong Huang</x:v>
      </x:c>
      <x:c r="D52" s="47" t="str">
        <x:v>US</x:v>
      </x:c>
      <x:c r="E52" s="47" t="str">
        <x:v>Stanford</x:v>
      </x:c>
      <x:c r="F52" s="47" t="str">
        <x:v>G1</x:v>
      </x:c>
      <x:c r="G52" s="47" t="str">
        <x:v>Planning</x:v>
      </x:c>
      <x:c r="H52" s="47" t="str">
        <x:v>Bridger</x:v>
      </x:c>
      <x:c r="I52" s="50" t="n">
        <x:v>2</x:v>
      </x:c>
      <x:c r="J52" s="50" t="n">
        <x:v>2</x:v>
      </x:c>
      <x:c r="K52" s="50" t="n">
        <x:v>3</x:v>
      </x:c>
      <x:c r="L52" s="47" t="str">
        <x:v>Emerging</x:v>
      </x:c>
      <x:c r="M52" s="47" t="str">
        <x:v>Yes</x:v>
      </x:c>
      <x:c r="N52" s="47" t="str">
        <x:v>No</x:v>
      </x:c>
      <x:c r="O52" s="47" t="str">
        <x:v>Generative planning</x:v>
      </x:c>
      <x:c r="P52" s="47" t="str">
        <x:v>Dream2Flow</x:v>
      </x:c>
      <x:c r="Q52" s="47" t="str">
        <x:v>Medium</x:v>
      </x:c>
      <x:c r="R52" s="47" t="str">
        <x:v>Recent bridge; exact citation tracked via project page</x:v>
      </x:c>
      <x:c r="S52" s="47" t="str">
        <x:v>https://wenlong.page/</x:v>
      </x:c>
      <x:c r="T52" s="47" t="str">
        <x:v>https://jiajunwu.com/</x:v>
      </x:c>
      <x:c r="U52" s="47" t="str">
        <x:v>https://jiajunwu.com/</x:v>
      </x:c>
      <x:c r="V52" s="47" t="str">
        <x:v>P026</x:v>
      </x:c>
      <x:c r="W52" s="50" t="n">
        <x:v>8</x:v>
      </x:c>
      <x:c r="X52" s="47" t="str">
        <x:v>P026</x:v>
      </x:c>
      <x:c r="Y52" s="50" t="n">
        <x:v>8</x:v>
      </x:c>
      <x:c r="Z52" s="51" t="str">
        <x:f>IF(OR(N52&lt;&gt;"Yes",AA52&lt;&gt;"Both selected papers covered"),"",SQRT((W52+1)*(Y52+1))*IF(Q52="High",1,0.8))</x:f>
      </x:c>
      <x:c r="AA52" s="47" t="str">
        <x:f>IF(AND(V52&lt;&gt;"",ISNUMBER(W52),X52&lt;&gt;"",ISNUMBER(Y52),COUNTIF('Papers'!$C$2:$C$56,V52)&gt;0,COUNTIF('Papers'!$C$2:$C$56,X52)&gt;0),"Both selected papers covered","Partial / missing selected-paper coverage")</x:f>
        <x:v>Both selected papers covered</x:v>
      </x:c>
      <x:c r="AB52" s="52" t="str">
        <x:v>2026-09-02</x:v>
      </x:c>
    </x:row>
    <x:row r="53">
      <x:c r="A53" s="50"/>
      <x:c r="B53" s="47" t="str">
        <x:v>R030</x:v>
      </x:c>
      <x:c r="C53" s="47" t="str">
        <x:v>Xiaolong Wang</x:v>
      </x:c>
      <x:c r="D53" s="47" t="str">
        <x:v>US</x:v>
      </x:c>
      <x:c r="E53" s="47" t="str">
        <x:v>UC San Diego</x:v>
      </x:c>
      <x:c r="F53" s="47" t="str">
        <x:v>U2</x:v>
      </x:c>
      <x:c r="G53" s="47" t="str">
        <x:v>Reward / affordance</x:v>
      </x:c>
      <x:c r="H53" s="47" t="str">
        <x:v>Native hybrid</x:v>
      </x:c>
      <x:c r="I53" s="50" t="n">
        <x:v>1</x:v>
      </x:c>
      <x:c r="J53" s="50" t="n">
        <x:v>3</x:v>
      </x:c>
      <x:c r="K53" s="50" t="n">
        <x:v>3</x:v>
      </x:c>
      <x:c r="L53" s="47" t="str">
        <x:v>Yes</x:v>
      </x:c>
      <x:c r="M53" s="47" t="str">
        <x:v>Yes</x:v>
      </x:c>
      <x:c r="N53" s="47" t="str">
        <x:v>Yes</x:v>
      </x:c>
      <x:c r="O53" s="47" t="str">
        <x:v>Unsupervised video representation</x:v>
      </x:c>
      <x:c r="P53" s="47" t="str">
        <x:v>Robot learning from video</x:v>
      </x:c>
      <x:c r="Q53" s="47" t="str">
        <x:v>High</x:v>
      </x:c>
      <x:c r="R53" s="47" t="str">
        <x:v>Motion/interaction understanding to robotics</x:v>
      </x:c>
      <x:c r="S53" s="47" t="str">
        <x:v>https://xiaolonw.github.io/</x:v>
      </x:c>
      <x:c r="T53" s="47" t="str">
        <x:v>https://arxiv.org/abs/1905.11993</x:v>
      </x:c>
      <x:c r="U53" s="47" t="str">
        <x:v>https://arxiv.org/abs/2204.01691</x:v>
      </x:c>
      <x:c r="V53" s="47"/>
      <x:c r="W53" s="50"/>
      <x:c r="X53" s="47"/>
      <x:c r="Y53" s="50"/>
      <x:c r="Z53" s="51" t="str">
        <x:f>IF(OR(N53&lt;&gt;"Yes",AA53&lt;&gt;"Both selected papers covered"),"",SQRT((W53+1)*(Y53+1))*IF(Q53="High",1,0.8))</x:f>
      </x:c>
      <x:c r="AA53" s="47" t="str">
        <x:f>IF(AND(V53&lt;&gt;"",ISNUMBER(W53),X53&lt;&gt;"",ISNUMBER(Y53),COUNTIF('Papers'!$C$2:$C$56,V53)&gt;0,COUNTIF('Papers'!$C$2:$C$56,X53)&gt;0),"Both selected papers covered","Partial / missing selected-paper coverage")</x:f>
        <x:v>Partial / missing selected-paper coverage</x:v>
      </x:c>
      <x:c r="AB53" s="52" t="str">
        <x:v>2026-09-02</x:v>
      </x:c>
    </x:row>
    <x:row r="54">
      <x:c r="A54" s="50"/>
      <x:c r="B54" s="47" t="str">
        <x:v>R019</x:v>
      </x:c>
      <x:c r="C54" s="47" t="str">
        <x:v>Xun Huang</x:v>
      </x:c>
      <x:c r="D54" s="47" t="str">
        <x:v>US</x:v>
      </x:c>
      <x:c r="E54" s="47" t="str">
        <x:v>NVIDIA</x:v>
      </x:c>
      <x:c r="F54" s="47" t="str">
        <x:v>G1</x:v>
      </x:c>
      <x:c r="G54" s="47" t="str">
        <x:v>World simulation</x:v>
      </x:c>
      <x:c r="H54" s="47" t="str">
        <x:v>Bridger</x:v>
      </x:c>
      <x:c r="I54" s="50" t="n">
        <x:v>3</x:v>
      </x:c>
      <x:c r="J54" s="50" t="n">
        <x:v>1</x:v>
      </x:c>
      <x:c r="K54" s="50" t="n">
        <x:v>2</x:v>
      </x:c>
      <x:c r="L54" s="47" t="str">
        <x:v>Yes</x:v>
      </x:c>
      <x:c r="M54" s="47" t="str">
        <x:v>Emerging</x:v>
      </x:c>
      <x:c r="N54" s="47" t="str">
        <x:v>No</x:v>
      </x:c>
      <x:c r="O54" s="47" t="str">
        <x:v>Video/image synthesis</x:v>
      </x:c>
      <x:c r="P54" s="47" t="str">
        <x:v>Cosmos</x:v>
      </x:c>
      <x:c r="Q54" s="47" t="str">
        <x:v>Medium</x:v>
      </x:c>
      <x:c r="R54" s="47" t="str">
        <x:v>Generative backbone to physical-AI world models</x:v>
      </x:c>
      <x:c r="S54" s="47" t="str">
        <x:v>https://xunhuang1995.github.io/</x:v>
      </x:c>
      <x:c r="T54" s="47" t="str">
        <x:v>https://arxiv.org/abs/1808.06601</x:v>
      </x:c>
      <x:c r="U54" s="47" t="str">
        <x:v>https://arxiv.org/abs/2501.03575</x:v>
      </x:c>
      <x:c r="V54" s="47" t="str">
        <x:v>P016</x:v>
      </x:c>
      <x:c r="W54" s="50" t="n">
        <x:v>740</x:v>
      </x:c>
      <x:c r="X54" s="47" t="str">
        <x:v>P016</x:v>
      </x:c>
      <x:c r="Y54" s="50" t="n">
        <x:v>740</x:v>
      </x:c>
      <x:c r="Z54" s="51" t="str">
        <x:f>IF(OR(N54&lt;&gt;"Yes",AA54&lt;&gt;"Both selected papers covered"),"",SQRT((W54+1)*(Y54+1))*IF(Q54="High",1,0.8))</x:f>
      </x:c>
      <x:c r="AA54" s="47" t="str">
        <x:f>IF(AND(V54&lt;&gt;"",ISNUMBER(W54),X54&lt;&gt;"",ISNUMBER(Y54),COUNTIF('Papers'!$C$2:$C$56,V54)&gt;0,COUNTIF('Papers'!$C$2:$C$56,X54)&gt;0),"Both selected papers covered","Partial / missing selected-paper coverage")</x:f>
        <x:v>Both selected papers covered</x:v>
      </x:c>
      <x:c r="AB54" s="52" t="str">
        <x:v>2026-09-02</x:v>
      </x:c>
    </x:row>
    <x:row r="55">
      <x:c r="A55" s="50"/>
      <x:c r="B55" s="47" t="str">
        <x:v>R023</x:v>
      </x:c>
      <x:c r="C55" s="47" t="str">
        <x:v>Yihuai Gao</x:v>
      </x:c>
      <x:c r="D55" s="47" t="str">
        <x:v>US</x:v>
      </x:c>
      <x:c r="E55" s="47" t="str">
        <x:v>NVIDIA</x:v>
      </x:c>
      <x:c r="F55" s="47" t="str">
        <x:v>G2</x:v>
      </x:c>
      <x:c r="G55" s="47" t="str">
        <x:v>World simulation</x:v>
      </x:c>
      <x:c r="H55" s="47" t="str">
        <x:v>Bridger</x:v>
      </x:c>
      <x:c r="I55" s="50" t="n">
        <x:v>2</x:v>
      </x:c>
      <x:c r="J55" s="50" t="n">
        <x:v>1</x:v>
      </x:c>
      <x:c r="K55" s="50" t="n">
        <x:v>2</x:v>
      </x:c>
      <x:c r="L55" s="47" t="str">
        <x:v>Emerging</x:v>
      </x:c>
      <x:c r="M55" s="47" t="str">
        <x:v>Emerging</x:v>
      </x:c>
      <x:c r="N55" s="47" t="str">
        <x:v>No</x:v>
      </x:c>
      <x:c r="O55" s="47" t="str">
        <x:v>Cosmos</x:v>
      </x:c>
      <x:c r="P55" s="47" t="str">
        <x:v>Cosmos robotics applications</x:v>
      </x:c>
      <x:c r="Q55" s="47" t="str">
        <x:v>Medium</x:v>
      </x:c>
      <x:c r="R55" s="47" t="str">
        <x:v>Recent bridge; impact still maturing</x:v>
      </x:c>
      <x:c r="S55" s="47" t="str">
        <x:v>https://arxiv.org/abs/2501.03575</x:v>
      </x:c>
      <x:c r="T55" s="47" t="str">
        <x:v>https://arxiv.org/abs/2501.03575</x:v>
      </x:c>
      <x:c r="U55" s="47" t="str">
        <x:v>https://arxiv.org/abs/2501.03575</x:v>
      </x:c>
      <x:c r="V55" s="47" t="str">
        <x:v>P016</x:v>
      </x:c>
      <x:c r="W55" s="50" t="n">
        <x:v>740</x:v>
      </x:c>
      <x:c r="X55" s="47" t="str">
        <x:v>P016</x:v>
      </x:c>
      <x:c r="Y55" s="50" t="n">
        <x:v>740</x:v>
      </x:c>
      <x:c r="Z55" s="51" t="str">
        <x:f>IF(OR(N55&lt;&gt;"Yes",AA55&lt;&gt;"Both selected papers covered"),"",SQRT((W55+1)*(Y55+1))*IF(Q55="High",1,0.8))</x:f>
      </x:c>
      <x:c r="AA55" s="47" t="str">
        <x:f>IF(AND(V55&lt;&gt;"",ISNUMBER(W55),X55&lt;&gt;"",ISNUMBER(Y55),COUNTIF('Papers'!$C$2:$C$56,V55)&gt;0,COUNTIF('Papers'!$C$2:$C$56,X55)&gt;0),"Both selected papers covered","Partial / missing selected-paper coverage")</x:f>
        <x:v>Both selected papers covered</x:v>
      </x:c>
      <x:c r="AB55" s="52" t="str">
        <x:v>2026-09-02</x:v>
      </x:c>
    </x:row>
    <x:row r="56">
      <x:c r="A56" s="50"/>
      <x:c r="B56" s="47" t="str">
        <x:v>R056</x:v>
      </x:c>
      <x:c r="C56" s="47" t="str">
        <x:v>Yuke Zhu</x:v>
      </x:c>
      <x:c r="D56" s="47" t="str">
        <x:v>US</x:v>
      </x:c>
      <x:c r="E56" s="47" t="str">
        <x:v>UT Austin / NVIDIA</x:v>
      </x:c>
      <x:c r="F56" s="47" t="str">
        <x:v>VL</x:v>
      </x:c>
      <x:c r="G56" s="47" t="str">
        <x:v>Direct policy</x:v>
      </x:c>
      <x:c r="H56" s="47" t="str">
        <x:v>Native hybrid</x:v>
      </x:c>
      <x:c r="I56" s="50" t="n">
        <x:v>0</x:v>
      </x:c>
      <x:c r="J56" s="50" t="n">
        <x:v>2</x:v>
      </x:c>
      <x:c r="K56" s="50" t="n">
        <x:v>3</x:v>
      </x:c>
      <x:c r="L56" s="47" t="str">
        <x:v>Emerging</x:v>
      </x:c>
      <x:c r="M56" s="47" t="str">
        <x:v>Yes</x:v>
      </x:c>
      <x:c r="N56" s="47" t="str">
        <x:v>No</x:v>
      </x:c>
      <x:c r="O56" s="47" t="str">
        <x:v>Multimodal representation</x:v>
      </x:c>
      <x:c r="P56" s="47" t="str">
        <x:v>VIMA; robot learning</x:v>
      </x:c>
      <x:c r="Q56" s="47" t="str">
        <x:v>High</x:v>
      </x:c>
      <x:c r="R56" s="47" t="str">
        <x:v>Robotics-led hybrid/control case</x:v>
      </x:c>
      <x:c r="S56" s="47" t="str">
        <x:v>https://www.cs.utexas.edu/~yukez/</x:v>
      </x:c>
      <x:c r="T56" s="47" t="str">
        <x:v>https://openreview.net/forum?id=oU2DzdTI94</x:v>
      </x:c>
      <x:c r="U56" s="47" t="str">
        <x:v>https://openreview.net/forum?id=oU2DzdTI94</x:v>
      </x:c>
      <x:c r="V56" s="47" t="str">
        <x:v>P019</x:v>
      </x:c>
      <x:c r="W56" s="50" t="n">
        <x:v>834</x:v>
      </x:c>
      <x:c r="X56" s="47" t="str">
        <x:v>P019</x:v>
      </x:c>
      <x:c r="Y56" s="50" t="n">
        <x:v>834</x:v>
      </x:c>
      <x:c r="Z56" s="51" t="str">
        <x:f>IF(OR(N56&lt;&gt;"Yes",AA56&lt;&gt;"Both selected papers covered"),"",SQRT((W56+1)*(Y56+1))*IF(Q56="High",1,0.8))</x:f>
      </x:c>
      <x:c r="AA56" s="47" t="str">
        <x:f>IF(AND(V56&lt;&gt;"",ISNUMBER(W56),X56&lt;&gt;"",ISNUMBER(Y56),COUNTIF('Papers'!$C$2:$C$56,V56)&gt;0,COUNTIF('Papers'!$C$2:$C$56,X56)&gt;0),"Both selected papers covered","Partial / missing selected-paper coverage")</x:f>
        <x:v>Both selected papers covered</x:v>
      </x:c>
      <x:c r="AB56" s="52" t="str">
        <x:v>2026-09-02</x:v>
      </x:c>
    </x:row>
    <x:row r="57">
      <x:c r="A57" s="50"/>
      <x:c r="B57" s="47" t="str">
        <x:v>R054</x:v>
      </x:c>
      <x:c r="C57" s="47" t="str">
        <x:v>Yunfan Jiang</x:v>
      </x:c>
      <x:c r="D57" s="47" t="str">
        <x:v>US</x:v>
      </x:c>
      <x:c r="E57" s="47" t="str">
        <x:v>Stanford / NVIDIA</x:v>
      </x:c>
      <x:c r="F57" s="47" t="str">
        <x:v>VL</x:v>
      </x:c>
      <x:c r="G57" s="47" t="str">
        <x:v>Direct policy</x:v>
      </x:c>
      <x:c r="H57" s="47" t="str">
        <x:v>Robotics-first</x:v>
      </x:c>
      <x:c r="I57" s="50" t="n">
        <x:v>0</x:v>
      </x:c>
      <x:c r="J57" s="50" t="n">
        <x:v>2</x:v>
      </x:c>
      <x:c r="K57" s="50" t="n">
        <x:v>3</x:v>
      </x:c>
      <x:c r="L57" s="47" t="str">
        <x:v>Emerging</x:v>
      </x:c>
      <x:c r="M57" s="47" t="str">
        <x:v>Yes</x:v>
      </x:c>
      <x:c r="N57" s="47" t="str">
        <x:v>No</x:v>
      </x:c>
      <x:c r="O57" s="47" t="str">
        <x:v>Multimodal prompts</x:v>
      </x:c>
      <x:c r="P57" s="47" t="str">
        <x:v>VIMA</x:v>
      </x:c>
      <x:c r="Q57" s="47" t="str">
        <x:v>High</x:v>
      </x:c>
      <x:c r="R57" s="47" t="str">
        <x:v>Key VIMA author; not a clear video-first trajectory</x:v>
      </x:c>
      <x:c r="S57" s="47" t="str">
        <x:v>https://openreview.net/forum?id=oU2DzdTI94</x:v>
      </x:c>
      <x:c r="T57" s="47" t="str">
        <x:v>https://openreview.net/forum?id=oU2DzdTI94</x:v>
      </x:c>
      <x:c r="U57" s="47" t="str">
        <x:v>https://openreview.net/forum?id=oU2DzdTI94</x:v>
      </x:c>
      <x:c r="V57" s="47" t="str">
        <x:v>P019</x:v>
      </x:c>
      <x:c r="W57" s="50" t="n">
        <x:v>834</x:v>
      </x:c>
      <x:c r="X57" s="47" t="str">
        <x:v>P019</x:v>
      </x:c>
      <x:c r="Y57" s="50" t="n">
        <x:v>834</x:v>
      </x:c>
      <x:c r="Z57" s="51" t="str">
        <x:f>IF(OR(N57&lt;&gt;"Yes",AA57&lt;&gt;"Both selected papers covered"),"",SQRT((W57+1)*(Y57+1))*IF(Q57="High",1,0.8))</x:f>
      </x:c>
      <x:c r="AA57" s="47" t="str">
        <x:f>IF(AND(V57&lt;&gt;"",ISNUMBER(W57),X57&lt;&gt;"",ISNUMBER(Y57),COUNTIF('Papers'!$C$2:$C$56,V57)&gt;0,COUNTIF('Papers'!$C$2:$C$56,X57)&gt;0),"Both selected papers covered","Partial / missing selected-paper coverage")</x:f>
        <x:v>Both selected papers covered</x:v>
      </x:c>
      <x:c r="AB57" s="52" t="str">
        <x:v>2026-09-02</x:v>
      </x:c>
    </x:row>
    <x:row r="58">
      <x:c r="A58" s="50"/>
      <x:c r="B58" s="47" t="str">
        <x:v>R022</x:v>
      </x:c>
      <x:c r="C58" s="47" t="str">
        <x:v>Yunhao Ge</x:v>
      </x:c>
      <x:c r="D58" s="47" t="str">
        <x:v>US</x:v>
      </x:c>
      <x:c r="E58" s="47" t="str">
        <x:v>NVIDIA</x:v>
      </x:c>
      <x:c r="F58" s="47" t="str">
        <x:v>G1</x:v>
      </x:c>
      <x:c r="G58" s="47" t="str">
        <x:v>World simulation</x:v>
      </x:c>
      <x:c r="H58" s="47" t="str">
        <x:v>Bridger</x:v>
      </x:c>
      <x:c r="I58" s="50" t="n">
        <x:v>3</x:v>
      </x:c>
      <x:c r="J58" s="50" t="n">
        <x:v>2</x:v>
      </x:c>
      <x:c r="K58" s="50" t="n">
        <x:v>2</x:v>
      </x:c>
      <x:c r="L58" s="47" t="str">
        <x:v>Yes</x:v>
      </x:c>
      <x:c r="M58" s="47" t="str">
        <x:v>Emerging</x:v>
      </x:c>
      <x:c r="N58" s="47" t="str">
        <x:v>No</x:v>
      </x:c>
      <x:c r="O58" s="47" t="str">
        <x:v>Generative visual models</x:v>
      </x:c>
      <x:c r="P58" s="47" t="str">
        <x:v>Cosmos</x:v>
      </x:c>
      <x:c r="Q58" s="47" t="str">
        <x:v>Medium</x:v>
      </x:c>
      <x:c r="R58" s="47" t="str">
        <x:v>Physical-AI model development</x:v>
      </x:c>
      <x:c r="S58" s="47" t="str">
        <x:v>https://scholar.google.com/scholar?q=Yunhao+Ge+NVIDIA+Cosmos</x:v>
      </x:c>
      <x:c r="T58" s="47" t="str">
        <x:v>https://arxiv.org/abs/2501.03575</x:v>
      </x:c>
      <x:c r="U58" s="47" t="str">
        <x:v>https://arxiv.org/abs/2501.03575</x:v>
      </x:c>
      <x:c r="V58" s="47" t="str">
        <x:v>P016</x:v>
      </x:c>
      <x:c r="W58" s="50" t="n">
        <x:v>740</x:v>
      </x:c>
      <x:c r="X58" s="47" t="str">
        <x:v>P016</x:v>
      </x:c>
      <x:c r="Y58" s="50" t="n">
        <x:v>740</x:v>
      </x:c>
      <x:c r="Z58" s="51" t="str">
        <x:f>IF(OR(N58&lt;&gt;"Yes",AA58&lt;&gt;"Both selected papers covered"),"",SQRT((W58+1)*(Y58+1))*IF(Q58="High",1,0.8))</x:f>
      </x:c>
      <x:c r="AA58" s="47" t="str">
        <x:f>IF(AND(V58&lt;&gt;"",ISNUMBER(W58),X58&lt;&gt;"",ISNUMBER(Y58),COUNTIF('Papers'!$C$2:$C$56,V58)&gt;0,COUNTIF('Papers'!$C$2:$C$56,X58)&gt;0),"Both selected papers covered","Partial / missing selected-paper coverage")</x:f>
        <x:v>Both selected papers covered</x:v>
      </x:c>
      <x:c r="AB58" s="52" t="str">
        <x:v>2026-09-02</x:v>
      </x:c>
    </x:row>
  </x:sheetData>
  <x:conditionalFormatting sqref="N2:N58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978df3d9322548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52" hidden="0" customWidth="1"/>
    <x:col min="5" max="5" width="10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42" hidden="0" customWidth="1"/>
    <x:col min="14" max="14" width="50" hidden="0" customWidth="1"/>
    <x:col min="15" max="15" width="48" hidden="0" customWidth="1"/>
    <x:col min="16" max="16" width="19" hidden="0" customWidth="1"/>
    <x:col min="17" max="17" width="19" hidden="0" customWidth="1"/>
    <x:col min="18" max="18" width="19" hidden="0" customWidth="1"/>
    <x:col min="19" max="19" width="50" hidden="0" customWidth="1"/>
    <x:col min="20" max="20" width="13" hidden="0" customWidth="1"/>
  </x:cols>
  <x:sheetData>
    <x:row r="1">
      <x:c r="A1" s="59" t="str">
        <x:v>Bridge_citation_rank</x:v>
      </x:c>
      <x:c r="B1" s="60" t="str">
        <x:v>Overall_citation_rank</x:v>
      </x:c>
      <x:c r="C1" s="60" t="str">
        <x:v>Paper_ID</x:v>
      </x:c>
      <x:c r="D1" s="60" t="str">
        <x:v>Title</x:v>
      </x:c>
      <x:c r="E1" s="60" t="str">
        <x:v>Year</x:v>
      </x:c>
      <x:c r="F1" s="60" t="str">
        <x:v>Paper_domain</x:v>
      </x:c>
      <x:c r="G1" s="60" t="str">
        <x:v>Architecture</x:v>
      </x:c>
      <x:c r="H1" s="60" t="str">
        <x:v>Output_space</x:v>
      </x:c>
      <x:c r="I1" s="60" t="str">
        <x:v>Robot_role</x:v>
      </x:c>
      <x:c r="J1" s="60" t="str">
        <x:v>Impact_tier</x:v>
      </x:c>
      <x:c r="K1" s="60" t="str">
        <x:v>Bridge_flag</x:v>
      </x:c>
      <x:c r="L1" s="60" t="str">
        <x:v>Region_cluster</x:v>
      </x:c>
      <x:c r="M1" s="60" t="str">
        <x:v>Key_authors</x:v>
      </x:c>
      <x:c r="N1" s="60" t="str">
        <x:v>Source_URL</x:v>
      </x:c>
      <x:c r="O1" s="60" t="str">
        <x:v>Why_it_matters</x:v>
      </x:c>
      <x:c r="P1" s="60" t="str">
        <x:v>Citation_count_observed</x:v>
      </x:c>
      <x:c r="Q1" s="60" t="str">
        <x:v>Citations_per_year</x:v>
      </x:c>
      <x:c r="R1" s="60" t="str">
        <x:v>Citation_basis</x:v>
      </x:c>
      <x:c r="S1" s="60" t="str">
        <x:v>Citation_source_URL</x:v>
      </x:c>
      <x:c r="T1" s="61" t="str">
        <x:v>Citation_as_of</x:v>
      </x:c>
    </x:row>
    <x:row r="2" ht="42" customHeight="1">
      <x:c r="A2" s="62" t="n">
        <x:v>1</x:v>
      </x:c>
      <x:c r="B2" s="63" t="n">
        <x:v>6</x:v>
      </x:c>
      <x:c r="C2" s="64" t="str">
        <x:v>P035</x:v>
      </x:c>
      <x:c r="D2" s="47" t="str">
        <x:v>Time-Contrastive Networks: Self-Supervised Learning from Video</x:v>
      </x:c>
      <x:c r="E2" s="63" t="n">
        <x:v>2017</x:v>
      </x:c>
      <x:c r="F2" s="47" t="str">
        <x:v>Bridge</x:v>
      </x:c>
      <x:c r="G2" s="47" t="str">
        <x:v>U2</x:v>
      </x:c>
      <x:c r="H2" s="47" t="str">
        <x:v>Embedding</x:v>
      </x:c>
      <x:c r="I2" s="47" t="str">
        <x:v>Reward / affordance</x:v>
      </x:c>
      <x:c r="J2" s="47" t="str">
        <x:v>Landmark</x:v>
      </x:c>
      <x:c r="K2" s="47" t="str">
        <x:v>Yes</x:v>
      </x:c>
      <x:c r="L2" s="47" t="str">
        <x:v>US</x:v>
      </x:c>
      <x:c r="M2" s="47" t="str">
        <x:v>Pierre Sermanet; Corey Lynch; Yevgen Chebotar; Jasmine Hsu; Eric Jang; Stefan Schaal; Sergey Levine</x:v>
      </x:c>
      <x:c r="N2" s="47" t="str">
        <x:v>https://arxiv.org/abs/1704.06888</x:v>
      </x:c>
      <x:c r="O2" s="47" t="str">
        <x:v>Video embeddings transferred across demonstrations and robots</x:v>
      </x:c>
      <x:c r="P2" s="51" t="n">
        <x:v>1359</x:v>
      </x:c>
      <x:c r="Q2" s="51" t="n">
        <x:f>IF(P2="","",P2/MAX(1,2026-E2+1))</x:f>
        <x:v>135.9</x:v>
      </x:c>
      <x:c r="R2" s="47" t="str">
        <x:v>Observed scholarly-web-index count; rechecked 2026-09-02; versions may be split</x:v>
      </x:c>
      <x:c r="S2" s="47" t="str">
        <x:v>https://www.semanticscholar.org/search?q=Time-Contrastive%20Networks%3A%20Self-Supervised%20Learning%20from%20Video</x:v>
      </x:c>
      <x:c r="T2" s="52" t="str">
        <x:v>2026-09-02</x:v>
      </x:c>
    </x:row>
    <x:row r="3" ht="42" customHeight="1">
      <x:c r="A3" s="62" t="n">
        <x:v>2</x:v>
      </x:c>
      <x:c r="B3" s="63" t="n">
        <x:v>8</x:v>
      </x:c>
      <x:c r="C3" s="64" t="str">
        <x:v>P009</x:v>
      </x:c>
      <x:c r="D3" s="47" t="str">
        <x:v>Deep Visual Foresight for Planning Robot Motion</x:v>
      </x:c>
      <x:c r="E3" s="63" t="n">
        <x:v>2016</x:v>
      </x:c>
      <x:c r="F3" s="47" t="str">
        <x:v>Bridge</x:v>
      </x:c>
      <x:c r="G3" s="47" t="str">
        <x:v>G2</x:v>
      </x:c>
      <x:c r="H3" s="47" t="str">
        <x:v>Action-conditioned future pixels</x:v>
      </x:c>
      <x:c r="I3" s="47" t="str">
        <x:v>Planning</x:v>
      </x:c>
      <x:c r="J3" s="47" t="str">
        <x:v>Landmark</x:v>
      </x:c>
      <x:c r="K3" s="47" t="str">
        <x:v>Yes</x:v>
      </x:c>
      <x:c r="L3" s="47" t="str">
        <x:v>US</x:v>
      </x:c>
      <x:c r="M3" s="47" t="str">
        <x:v>Chelsea Finn; Ian Goodfellow; Sergey Levine</x:v>
      </x:c>
      <x:c r="N3" s="47" t="str">
        <x:v>https://arxiv.org/abs/1610.00696</x:v>
      </x:c>
      <x:c r="O3" s="47" t="str">
        <x:v>Foundational action-conditioned video prediction for robot control</x:v>
      </x:c>
      <x:c r="P3" s="51" t="n">
        <x:v>1130</x:v>
      </x:c>
      <x:c r="Q3" s="51" t="n">
        <x:f>IF(P3="","",P3/MAX(1,2026-E3+1))</x:f>
        <x:v>102.72727272727273</x:v>
      </x:c>
      <x:c r="R3" s="47" t="str">
        <x:v>Observed scholarly-web-index count; rechecked 2026-09-02; versions may be split</x:v>
      </x:c>
      <x:c r="S3" s="47" t="str">
        <x:v>https://www.semanticscholar.org/search?q=Deep%20Visual%20Foresight%20for%20Planning%20Robot%20Motion</x:v>
      </x:c>
      <x:c r="T3" s="52" t="str">
        <x:v>2026-09-02</x:v>
      </x:c>
    </x:row>
    <x:row r="4" ht="42" customHeight="1">
      <x:c r="A4" s="62" t="n">
        <x:v>3</x:v>
      </x:c>
      <x:c r="B4" s="63" t="n">
        <x:v>9</x:v>
      </x:c>
      <x:c r="C4" s="64" t="str">
        <x:v>P019</x:v>
      </x:c>
      <x:c r="D4" s="47" t="str">
        <x:v>VIMA: General Robot Manipulation with Multimodal Prompts</x:v>
      </x:c>
      <x:c r="E4" s="63" t="n">
        <x:v>2023</x:v>
      </x:c>
      <x:c r="F4" s="47" t="str">
        <x:v>Robotics</x:v>
      </x:c>
      <x:c r="G4" s="47" t="str">
        <x:v>VL</x:v>
      </x:c>
      <x:c r="H4" s="47" t="str">
        <x:v>Robot actions</x:v>
      </x:c>
      <x:c r="I4" s="47" t="str">
        <x:v>Direct policy</x:v>
      </x:c>
      <x:c r="J4" s="47" t="str">
        <x:v>Landmark</x:v>
      </x:c>
      <x:c r="K4" s="47" t="str">
        <x:v>Yes</x:v>
      </x:c>
      <x:c r="L4" s="47" t="str">
        <x:v>US</x:v>
      </x:c>
      <x:c r="M4" s="47" t="str">
        <x:v>Yunfan Jiang; Agrim Gupta; Zichen Zhang; Guanzhi Wang et al.</x:v>
      </x:c>
      <x:c r="N4" s="47" t="str">
        <x:v>https://openreview.net/forum?id=oU2DzdTI94</x:v>
      </x:c>
      <x:c r="O4" s="47" t="str">
        <x:v>Important prompt-conditioned robot policy</x:v>
      </x:c>
      <x:c r="P4" s="51" t="n">
        <x:v>834</x:v>
      </x:c>
      <x:c r="Q4" s="51" t="n">
        <x:f>IF(P4="","",P4/MAX(1,2026-E4+1))</x:f>
        <x:v>208.5</x:v>
      </x:c>
      <x:c r="R4" s="47" t="str">
        <x:v>Observed scholarly-web-index count; rechecked 2026-09-02; versions may be split</x:v>
      </x:c>
      <x:c r="S4" s="47" t="str">
        <x:v>https://www.semanticscholar.org/search?q=VIMA%3A%20General%20Robot%20Manipulation%20with%20Multimodal%20Prompts</x:v>
      </x:c>
      <x:c r="T4" s="52" t="str">
        <x:v>2026-09-02</x:v>
      </x:c>
    </x:row>
    <x:row r="5" ht="42" customHeight="1">
      <x:c r="A5" s="62" t="n">
        <x:v>4</x:v>
      </x:c>
      <x:c r="B5" s="63" t="n">
        <x:v>11</x:v>
      </x:c>
      <x:c r="C5" s="64" t="str">
        <x:v>P016</x:v>
      </x:c>
      <x:c r="D5" s="47" t="str">
        <x:v>Cosmos World Foundation Model Platform for Physical AI</x:v>
      </x:c>
      <x:c r="E5" s="63" t="n">
        <x:v>2025</x:v>
      </x:c>
      <x:c r="F5" s="47" t="str">
        <x:v>Bridge</x:v>
      </x:c>
      <x:c r="G5" s="47" t="str">
        <x:v>G2</x:v>
      </x:c>
      <x:c r="H5" s="47" t="str">
        <x:v>Future video / world state</x:v>
      </x:c>
      <x:c r="I5" s="47" t="str">
        <x:v>World simulation</x:v>
      </x:c>
      <x:c r="J5" s="47" t="str">
        <x:v>Landmark</x:v>
      </x:c>
      <x:c r="K5" s="47" t="str">
        <x:v>Yes</x:v>
      </x:c>
      <x:c r="L5" s="47" t="str">
        <x:v>US</x:v>
      </x:c>
      <x:c r="M5" s="47" t="str">
        <x:v>NVIDIA Cosmos team</x:v>
      </x:c>
      <x:c r="N5" s="47" t="str">
        <x:v>https://arxiv.org/abs/2501.03575</x:v>
      </x:c>
      <x:c r="O5" s="47" t="str">
        <x:v>Large generative world foundation model for physical AI</x:v>
      </x:c>
      <x:c r="P5" s="51" t="n">
        <x:v>740</x:v>
      </x:c>
      <x:c r="Q5" s="51" t="n">
        <x:f>IF(P5="","",P5/MAX(1,2026-E5+1))</x:f>
        <x:v>370</x:v>
      </x:c>
      <x:c r="R5" s="47" t="str">
        <x:v>Observed scholarly-web-index count; rechecked 2026-09-02; versions may be split</x:v>
      </x:c>
      <x:c r="S5" s="47" t="str">
        <x:v>https://www.semanticscholar.org/search?q=Cosmos%20World%20Foundation%20Model%20Platform%20for%20Physical%20AI</x:v>
      </x:c>
      <x:c r="T5" s="52" t="str">
        <x:v>2026-09-02</x:v>
      </x:c>
    </x:row>
    <x:row r="6" ht="42" customHeight="1">
      <x:c r="A6" s="62" t="n">
        <x:v>5</x:v>
      </x:c>
      <x:c r="B6" s="63" t="n">
        <x:v>15</x:v>
      </x:c>
      <x:c r="C6" s="64" t="str">
        <x:v>P004</x:v>
      </x:c>
      <x:c r="D6" s="47" t="str">
        <x:v>V-JEPA 2: Self-Supervised Video Models Enable Understanding, Prediction and Planning</x:v>
      </x:c>
      <x:c r="E6" s="63" t="n">
        <x:v>2025</x:v>
      </x:c>
      <x:c r="F6" s="47" t="str">
        <x:v>Bridge</x:v>
      </x:c>
      <x:c r="G6" s="47" t="str">
        <x:v>U3</x:v>
      </x:c>
      <x:c r="H6" s="47" t="str">
        <x:v>Latent future state</x:v>
      </x:c>
      <x:c r="I6" s="47" t="str">
        <x:v>Planning</x:v>
      </x:c>
      <x:c r="J6" s="47" t="str">
        <x:v>Landmark</x:v>
      </x:c>
      <x:c r="K6" s="47" t="str">
        <x:v>Yes</x:v>
      </x:c>
      <x:c r="L6" s="47" t="str">
        <x:v>Mixed</x:v>
      </x:c>
      <x:c r="M6" s="47" t="str">
        <x:v>Mahmoud Assran; Adrien Bardes; David Fan; Quentin Garrido; Nicolas Ballas et al.</x:v>
      </x:c>
      <x:c r="N6" s="47" t="str">
        <x:v>https://arxiv.org/abs/2506.09985</x:v>
      </x:c>
      <x:c r="O6" s="47" t="str">
        <x:v>Internet video pretraining plus small robot-data post-training</x:v>
      </x:c>
      <x:c r="P6" s="51" t="n">
        <x:v>693</x:v>
      </x:c>
      <x:c r="Q6" s="51" t="n">
        <x:f>IF(P6="","",P6/MAX(1,2026-E6+1))</x:f>
        <x:v>346.5</x:v>
      </x:c>
      <x:c r="R6" s="47" t="str">
        <x:v>Observed scholarly-web-index count; rechecked 2026-09-02; versions may be split</x:v>
      </x:c>
      <x:c r="S6" s="47" t="str">
        <x:v>https://www.semanticscholar.org/search?q=V-JEPA%202%3A%20Self-Supervised%20Video%20Models%20Enable%20Understanding%2C%20Prediction%20and%20Planning</x:v>
      </x:c>
      <x:c r="T6" s="52" t="str">
        <x:v>2026-09-02</x:v>
      </x:c>
    </x:row>
    <x:row r="7" ht="42" customHeight="1">
      <x:c r="A7" s="62" t="n">
        <x:v>6</x:v>
      </x:c>
      <x:c r="B7" s="63" t="n">
        <x:v>16</x:v>
      </x:c>
      <x:c r="C7" s="64" t="str">
        <x:v>P011</x:v>
      </x:c>
      <x:c r="D7" s="47" t="str">
        <x:v>UniPi: Learning Universal Policies via Text-Guided Video Generation</x:v>
      </x:c>
      <x:c r="E7" s="63" t="n">
        <x:v>2023</x:v>
      </x:c>
      <x:c r="F7" s="47" t="str">
        <x:v>Bridge</x:v>
      </x:c>
      <x:c r="G7" s="47" t="str">
        <x:v>G1</x:v>
      </x:c>
      <x:c r="H7" s="47" t="str">
        <x:v>Generated video plan</x:v>
      </x:c>
      <x:c r="I7" s="47" t="str">
        <x:v>Planning</x:v>
      </x:c>
      <x:c r="J7" s="47" t="str">
        <x:v>Major</x:v>
      </x:c>
      <x:c r="K7" s="47" t="str">
        <x:v>Yes</x:v>
      </x:c>
      <x:c r="L7" s="47" t="str">
        <x:v>US</x:v>
      </x:c>
      <x:c r="M7" s="47" t="str">
        <x:v>Mengjiao Yang; Dale Schuurmans; Pieter Abbeel; Sergey Levine; Chelsea Finn et al.</x:v>
      </x:c>
      <x:c r="N7" s="47" t="str">
        <x:v>https://research.google/blog/unipi-learning-universal-policies-via-text-guided-video-generation/</x:v>
      </x:c>
      <x:c r="O7" s="47" t="str">
        <x:v>Uses generated video as universal policy representation</x:v>
      </x:c>
      <x:c r="P7" s="51" t="n">
        <x:v>659</x:v>
      </x:c>
      <x:c r="Q7" s="51" t="n">
        <x:f>IF(P7="","",P7/MAX(1,2026-E7+1))</x:f>
        <x:v>164.75</x:v>
      </x:c>
      <x:c r="R7" s="47" t="str">
        <x:v>Observed scholarly-web-index count; rechecked 2026-09-02; versions may be split</x:v>
      </x:c>
      <x:c r="S7" s="47" t="str">
        <x:v>https://www.semanticscholar.org/search?q=UniPi%3A%20Learning%20Universal%20Policies%20via%20Text-Guided%20Video%20Generation</x:v>
      </x:c>
      <x:c r="T7" s="52" t="str">
        <x:v>2026-09-02</x:v>
      </x:c>
    </x:row>
    <x:row r="8" ht="42" customHeight="1">
      <x:c r="A8" s="62" t="n">
        <x:v>7</x:v>
      </x:c>
      <x:c r="B8" s="63" t="n">
        <x:v>19</x:v>
      </x:c>
      <x:c r="C8" s="64" t="str">
        <x:v>P024</x:v>
      </x:c>
      <x:c r="D8" s="47" t="str">
        <x:v>MineDojo: Building Open-Ended Embodied Agents with Internet-Scale Knowledge</x:v>
      </x:c>
      <x:c r="E8" s="63" t="n">
        <x:v>2022</x:v>
      </x:c>
      <x:c r="F8" s="47" t="str">
        <x:v>Bridge</x:v>
      </x:c>
      <x:c r="G8" s="47" t="str">
        <x:v>VL</x:v>
      </x:c>
      <x:c r="H8" s="47" t="str">
        <x:v>Video-language reward</x:v>
      </x:c>
      <x:c r="I8" s="47" t="str">
        <x:v>Reward / affordance</x:v>
      </x:c>
      <x:c r="J8" s="47" t="str">
        <x:v>Landmark</x:v>
      </x:c>
      <x:c r="K8" s="47" t="str">
        <x:v>Yes</x:v>
      </x:c>
      <x:c r="L8" s="47" t="str">
        <x:v>US</x:v>
      </x:c>
      <x:c r="M8" s="47" t="str">
        <x:v>Linxi Fan; Guanzhi Wang; Yunfan Jiang; Ajay Mandlekar; Yuncong Yang; Yuke Zhu; Tim Rocktäschel et al.</x:v>
      </x:c>
      <x:c r="N8" s="47" t="str">
        <x:v>https://arxiv.org/abs/2206.08853</x:v>
      </x:c>
      <x:c r="O8" s="47" t="str">
        <x:v>Video-language model as learned reward for embodied agents</x:v>
      </x:c>
      <x:c r="P8" s="51" t="n">
        <x:v>544</x:v>
      </x:c>
      <x:c r="Q8" s="51" t="n">
        <x:f>IF(P8="","",P8/MAX(1,2026-E8+1))</x:f>
        <x:v>108.8</x:v>
      </x:c>
      <x:c r="R8" s="47" t="str">
        <x:v>Observed scholarly-web-index count; rechecked 2026-09-02; versions may be split</x:v>
      </x:c>
      <x:c r="S8" s="47" t="str">
        <x:v>https://www.semanticscholar.org/search?q=MineDojo%3A%20Building%20Open-Ended%20Embodied%20Agents%20with%20Internet-Scale%20Knowledge</x:v>
      </x:c>
      <x:c r="T8" s="52" t="str">
        <x:v>2026-09-02</x:v>
      </x:c>
    </x:row>
    <x:row r="9" ht="42" customHeight="1">
      <x:c r="A9" s="62" t="n">
        <x:v>8</x:v>
      </x:c>
      <x:c r="B9" s="63" t="n">
        <x:v>20</x:v>
      </x:c>
      <x:c r="C9" s="64" t="str">
        <x:v>P041</x:v>
      </x:c>
      <x:c r="D9" s="47" t="str">
        <x:v>Learning Interactive Real-World Simulators (UniSim)</x:v>
      </x:c>
      <x:c r="E9" s="63" t="n">
        <x:v>2023</x:v>
      </x:c>
      <x:c r="F9" s="47" t="str">
        <x:v>Bridge</x:v>
      </x:c>
      <x:c r="G9" s="47" t="str">
        <x:v>G2</x:v>
      </x:c>
      <x:c r="H9" s="47" t="str">
        <x:v>Action-conditioned future video / world state</x:v>
      </x:c>
      <x:c r="I9" s="47" t="str">
        <x:v>World simulation</x:v>
      </x:c>
      <x:c r="J9" s="47" t="str">
        <x:v>Landmark</x:v>
      </x:c>
      <x:c r="K9" s="47" t="str">
        <x:v>Yes</x:v>
      </x:c>
      <x:c r="L9" s="47" t="str">
        <x:v>US</x:v>
      </x:c>
      <x:c r="M9" s="47" t="str">
        <x:v>Sherry Yang; Yilun Du; Kamyar Ghasemipour; Jonathan Tompson; Dale Schuurmans; Pieter Abbeel</x:v>
      </x:c>
      <x:c r="N9" s="47" t="str">
        <x:v>https://arxiv.org/abs/2310.06114</x:v>
      </x:c>
      <x:c r="O9" s="47" t="str">
        <x:v>A real-world simulator trained from image, robotics, navigation, and video data; used to train policies that transfer to real robots</x:v>
      </x:c>
      <x:c r="P9" s="51" t="n">
        <x:v>448</x:v>
      </x:c>
      <x:c r="Q9" s="51" t="n">
        <x:f>IF(P9="","",P9/MAX(1,2026-E9+1))</x:f>
        <x:v>112</x:v>
      </x:c>
      <x:c r="R9" s="47" t="str">
        <x:v>Observed scholarly-web-index count; rechecked 2026-09-02; versions may be split</x:v>
      </x:c>
      <x:c r="S9" s="47" t="str">
        <x:v>https://arxiv.org/abs/2310.06114</x:v>
      </x:c>
      <x:c r="T9" s="52" t="str">
        <x:v>2026-09-02</x:v>
      </x:c>
    </x:row>
    <x:row r="10" ht="42" customHeight="1">
      <x:c r="A10" s="62" t="n">
        <x:v>9</x:v>
      </x:c>
      <x:c r="B10" s="63" t="n">
        <x:v>21</x:v>
      </x:c>
      <x:c r="C10" s="64" t="str">
        <x:v>P037</x:v>
      </x:c>
      <x:c r="D10" s="47" t="str">
        <x:v>RoboNet: Large-Scale Multi-Robot Learning</x:v>
      </x:c>
      <x:c r="E10" s="63" t="n">
        <x:v>2019</x:v>
      </x:c>
      <x:c r="F10" s="47" t="str">
        <x:v>Robotics</x:v>
      </x:c>
      <x:c r="G10" s="47" t="str">
        <x:v>G2</x:v>
      </x:c>
      <x:c r="H10" s="47" t="str">
        <x:v>Robot trajectories / video</x:v>
      </x:c>
      <x:c r="I10" s="47" t="str">
        <x:v>Data generation</x:v>
      </x:c>
      <x:c r="J10" s="47" t="str">
        <x:v>Landmark</x:v>
      </x:c>
      <x:c r="K10" s="47" t="str">
        <x:v>Yes</x:v>
      </x:c>
      <x:c r="L10" s="47" t="str">
        <x:v>US</x:v>
      </x:c>
      <x:c r="M10" s="47" t="str">
        <x:v>Sudeep Dasari; Frederik Ebert; Stephen Tian; Suraj Nair; Bernadette Bucher; Karl Schmeckpeper; Sergey Levine; Chelsea Finn</x:v>
      </x:c>
      <x:c r="N10" s="47" t="str">
        <x:v>https://arxiv.org/abs/1910.11215</x:v>
      </x:c>
      <x:c r="O10" s="47" t="str">
        <x:v>Large-scale robot video data for learned dynamics and control</x:v>
      </x:c>
      <x:c r="P10" s="51" t="n">
        <x:v>444</x:v>
      </x:c>
      <x:c r="Q10" s="51" t="n">
        <x:f>IF(P10="","",P10/MAX(1,2026-E10+1))</x:f>
        <x:v>55.5</x:v>
      </x:c>
      <x:c r="R10" s="47" t="str">
        <x:v>Observed scholarly-web-index count; rechecked 2026-09-02; versions may be split</x:v>
      </x:c>
      <x:c r="S10" s="47" t="str">
        <x:v>https://www.semanticscholar.org/search?q=RoboNet%3A%20Large-Scale%20Multi-Robot%20Learning</x:v>
      </x:c>
      <x:c r="T10" s="52" t="str">
        <x:v>2026-09-02</x:v>
      </x:c>
    </x:row>
    <x:row r="11" ht="42" customHeight="1">
      <x:c r="A11" s="62" t="n">
        <x:v>10</x:v>
      </x:c>
      <x:c r="B11" s="63" t="n">
        <x:v>26</x:v>
      </x:c>
      <x:c r="C11" s="64" t="str">
        <x:v>P015</x:v>
      </x:c>
      <x:c r="D11" s="47" t="str">
        <x:v>GR-2: A Generative Video-Language-Action Model with Web-Scale Knowledge for Robot Manipulation</x:v>
      </x:c>
      <x:c r="E11" s="63" t="n">
        <x:v>2024</x:v>
      </x:c>
      <x:c r="F11" s="47" t="str">
        <x:v>Bridge</x:v>
      </x:c>
      <x:c r="G11" s="47" t="str">
        <x:v>G3</x:v>
      </x:c>
      <x:c r="H11" s="47" t="str">
        <x:v>Video + actions</x:v>
      </x:c>
      <x:c r="I11" s="47" t="str">
        <x:v>Direct policy</x:v>
      </x:c>
      <x:c r="J11" s="47" t="str">
        <x:v>Major</x:v>
      </x:c>
      <x:c r="K11" s="47" t="str">
        <x:v>Yes</x:v>
      </x:c>
      <x:c r="L11" s="47" t="str">
        <x:v>Asia</x:v>
      </x:c>
      <x:c r="M11" s="47" t="str">
        <x:v>Chi-Lam Cheang et al.</x:v>
      </x:c>
      <x:c r="N11" s="47" t="str">
        <x:v>https://arxiv.org/abs/2410.06158</x:v>
      </x:c>
      <x:c r="O11" s="47" t="str">
        <x:v>Pretrains video generation then predicts actions and videos</x:v>
      </x:c>
      <x:c r="P11" s="51" t="n">
        <x:v>297</x:v>
      </x:c>
      <x:c r="Q11" s="51" t="n">
        <x:f>IF(P11="","",P11/MAX(1,2026-E11+1))</x:f>
        <x:v>99</x:v>
      </x:c>
      <x:c r="R11" s="47" t="str">
        <x:v>Observed scholarly-web-index count; rechecked 2026-09-02; versions may be split</x:v>
      </x:c>
      <x:c r="S11" s="47" t="str">
        <x:v>https://www.semanticscholar.org/search?q=GR-2%3A%20A%20Generative%20Video-Language-Action%20Model%20with%20Web-Scale%20Knowledge%20for%20Robot%20Manipulation</x:v>
      </x:c>
      <x:c r="T11" s="52" t="str">
        <x:v>2026-09-02</x:v>
      </x:c>
    </x:row>
    <x:row r="12" ht="42" customHeight="1">
      <x:c r="A12" s="63" t="n">
        <x:v>11</x:v>
      </x:c>
      <x:c r="B12" s="63" t="n">
        <x:v>27</x:v>
      </x:c>
      <x:c r="C12" s="64" t="str">
        <x:v>P036</x:v>
      </x:c>
      <x:c r="D12" s="47" t="str">
        <x:v>WHIRL: Human-to-Robot Imitation in the Wild</x:v>
      </x:c>
      <x:c r="E12" s="63" t="n">
        <x:v>2022</x:v>
      </x:c>
      <x:c r="F12" s="47" t="str">
        <x:v>Bridge</x:v>
      </x:c>
      <x:c r="G12" s="47" t="str">
        <x:v>U2</x:v>
      </x:c>
      <x:c r="H12" s="47" t="str">
        <x:v>Human motion / action</x:v>
      </x:c>
      <x:c r="I12" s="47" t="str">
        <x:v>Direct policy</x:v>
      </x:c>
      <x:c r="J12" s="47" t="str">
        <x:v>Major</x:v>
      </x:c>
      <x:c r="K12" s="47" t="str">
        <x:v>Yes</x:v>
      </x:c>
      <x:c r="L12" s="47" t="str">
        <x:v>US</x:v>
      </x:c>
      <x:c r="M12" s="47" t="str">
        <x:v>Shikhar Bahl; Russell Mendonca; Lili Chen; Unnat Jain; Deepak Pathak</x:v>
      </x:c>
      <x:c r="N12" s="47" t="str">
        <x:v>https://arxiv.org/abs/2207.09450</x:v>
      </x:c>
      <x:c r="O12" s="47" t="str">
        <x:v>In-the-wild human video to robot behavior</x:v>
      </x:c>
      <x:c r="P12" s="51" t="n">
        <x:v>251</x:v>
      </x:c>
      <x:c r="Q12" s="51" t="n">
        <x:f>IF(P12="","",P12/MAX(1,2026-E12+1))</x:f>
        <x:v>50.2</x:v>
      </x:c>
      <x:c r="R12" s="47" t="str">
        <x:v>Observed scholarly-web-index count; rechecked 2026-09-02; versions may be split</x:v>
      </x:c>
      <x:c r="S12" s="47" t="str">
        <x:v>https://www.semanticscholar.org/search?q=WHIRL%3A%20Human-to-Robot%20Imitation%20in%20the%20Wild</x:v>
      </x:c>
      <x:c r="T12" s="52" t="str">
        <x:v>2026-09-02</x:v>
      </x:c>
    </x:row>
    <x:row r="13" ht="42" customHeight="1">
      <x:c r="A13" s="63" t="n">
        <x:v>12</x:v>
      </x:c>
      <x:c r="B13" s="63" t="n">
        <x:v>28</x:v>
      </x:c>
      <x:c r="C13" s="64" t="str">
        <x:v>P012</x:v>
      </x:c>
      <x:c r="D13" s="47" t="str">
        <x:v>RoboDreamer: Learning Compositional World Models for Robot Imagination</x:v>
      </x:c>
      <x:c r="E13" s="63" t="n">
        <x:v>2024</x:v>
      </x:c>
      <x:c r="F13" s="47" t="str">
        <x:v>Bridge</x:v>
      </x:c>
      <x:c r="G13" s="47" t="str">
        <x:v>G2</x:v>
      </x:c>
      <x:c r="H13" s="47" t="str">
        <x:v>Action-conditioned video</x:v>
      </x:c>
      <x:c r="I13" s="47" t="str">
        <x:v>Planning</x:v>
      </x:c>
      <x:c r="J13" s="47" t="str">
        <x:v>Major</x:v>
      </x:c>
      <x:c r="K13" s="47" t="str">
        <x:v>Yes</x:v>
      </x:c>
      <x:c r="L13" s="47" t="str">
        <x:v>US</x:v>
      </x:c>
      <x:c r="M13" s="47" t="str">
        <x:v>Siyuan Zhou; Yilun Du; Jiaben Chen; Yandong Li; Dit-Yan Yeung; Chuang Gan</x:v>
      </x:c>
      <x:c r="N13" s="47" t="str">
        <x:v>https://arxiv.org/abs/2404.12377</x:v>
      </x:c>
      <x:c r="O13" s="47" t="str">
        <x:v>Compositional video world model for robot planning</x:v>
      </x:c>
      <x:c r="P13" s="51" t="n">
        <x:v>212</x:v>
      </x:c>
      <x:c r="Q13" s="51" t="n">
        <x:f>IF(P13="","",P13/MAX(1,2026-E13+1))</x:f>
        <x:v>70.66666666666667</x:v>
      </x:c>
      <x:c r="R13" s="47" t="str">
        <x:v>Observed scholarly-web-index count; rechecked 2026-09-02; versions may be split</x:v>
      </x:c>
      <x:c r="S13" s="47" t="str">
        <x:v>https://www.semanticscholar.org/search?q=RoboDreamer%3A%20Learning%20Compositional%20World%20Models%20for%20Robot%20Imagination</x:v>
      </x:c>
      <x:c r="T13" s="52" t="str">
        <x:v>2026-09-02</x:v>
      </x:c>
    </x:row>
    <x:row r="14" ht="42" customHeight="1">
      <x:c r="A14" s="63" t="n">
        <x:v>13</x:v>
      </x:c>
      <x:c r="B14" s="63" t="n">
        <x:v>29</x:v>
      </x:c>
      <x:c r="C14" s="64" t="str">
        <x:v>P017</x:v>
      </x:c>
      <x:c r="D14" s="47" t="str">
        <x:v>Cosmos Policy: Fine-Tuning Video Models for Visuomotor Control and Planning</x:v>
      </x:c>
      <x:c r="E14" s="63" t="n">
        <x:v>2026</x:v>
      </x:c>
      <x:c r="F14" s="47" t="str">
        <x:v>Bridge</x:v>
      </x:c>
      <x:c r="G14" s="47" t="str">
        <x:v>G3</x:v>
      </x:c>
      <x:c r="H14" s="47" t="str">
        <x:v>Actions as latent frames + future state</x:v>
      </x:c>
      <x:c r="I14" s="47" t="str">
        <x:v>Direct policy</x:v>
      </x:c>
      <x:c r="J14" s="47" t="str">
        <x:v>Landmark</x:v>
      </x:c>
      <x:c r="K14" s="47" t="str">
        <x:v>Yes</x:v>
      </x:c>
      <x:c r="L14" s="47" t="str">
        <x:v>US</x:v>
      </x:c>
      <x:c r="M14" s="47" t="str">
        <x:v>Moo Jin Kim; Yuzhu Dong; Jinwei Gu</x:v>
      </x:c>
      <x:c r="N14" s="47" t="str">
        <x:v>https://arxiv.org/abs/2601.16163</x:v>
      </x:c>
      <x:c r="O14" s="47" t="str">
        <x:v>No architectural modification; video diffusion becomes policy</x:v>
      </x:c>
      <x:c r="P14" s="51" t="n">
        <x:v>193</x:v>
      </x:c>
      <x:c r="Q14" s="51" t="n">
        <x:f>IF(P14="","",P14/MAX(1,2026-E14+1))</x:f>
        <x:v>193</x:v>
      </x:c>
      <x:c r="R14" s="47" t="str">
        <x:v>Observed scholarly-web-index count; rechecked 2026-09-02; versions may be split</x:v>
      </x:c>
      <x:c r="S14" s="47" t="str">
        <x:v>https://www.semanticscholar.org/search?q=Cosmos%20Policy%3A%20Fine-Tuning%20Video%20Models%20for%20Visuomotor%20Control%20and%20Planning</x:v>
      </x:c>
      <x:c r="T14" s="52" t="str">
        <x:v>2026-09-02</x:v>
      </x:c>
    </x:row>
    <x:row r="15" ht="42" customHeight="1">
      <x:c r="A15" s="63" t="n">
        <x:v>14</x:v>
      </x:c>
      <x:c r="B15" s="63" t="n">
        <x:v>30</x:v>
      </x:c>
      <x:c r="C15" s="64" t="str">
        <x:v>P025</x:v>
      </x:c>
      <x:c r="D15" s="47" t="str">
        <x:v>Magma: A Foundation Model for Multimodal AI Agents</x:v>
      </x:c>
      <x:c r="E15" s="63" t="n">
        <x:v>2025</x:v>
      </x:c>
      <x:c r="F15" s="47" t="str">
        <x:v>Bridge</x:v>
      </x:c>
      <x:c r="G15" s="47" t="str">
        <x:v>VL</x:v>
      </x:c>
      <x:c r="H15" s="47" t="str">
        <x:v>Actions / spatial traces</x:v>
      </x:c>
      <x:c r="I15" s="47" t="str">
        <x:v>Direct policy</x:v>
      </x:c>
      <x:c r="J15" s="47" t="str">
        <x:v>Major</x:v>
      </x:c>
      <x:c r="K15" s="47" t="str">
        <x:v>Yes</x:v>
      </x:c>
      <x:c r="L15" s="47" t="str">
        <x:v>US</x:v>
      </x:c>
      <x:c r="M15" s="47" t="str">
        <x:v>Jianwei Yang et al.</x:v>
      </x:c>
      <x:c r="N15" s="47" t="str">
        <x:v>https://openaccess.thecvf.com/content/CVPR2025/papers/Yang_Magma_A_Foundation_Model_for_Multimodal_AI_Agents_CVPR_2025_paper.pdf</x:v>
      </x:c>
      <x:c r="O15" s="47" t="str">
        <x:v>Unified image/video/robotics agent model</x:v>
      </x:c>
      <x:c r="P15" s="51" t="n">
        <x:v>189</x:v>
      </x:c>
      <x:c r="Q15" s="51" t="n">
        <x:f>IF(P15="","",P15/MAX(1,2026-E15+1))</x:f>
        <x:v>94.5</x:v>
      </x:c>
      <x:c r="R15" s="47" t="str">
        <x:v>Observed scholarly-web-index count; rechecked 2026-09-02; versions may be split</x:v>
      </x:c>
      <x:c r="S15" s="47" t="str">
        <x:v>https://www.semanticscholar.org/search?q=Magma%3A%20A%20Foundation%20Model%20for%20Multimodal%20AI%20Agents</x:v>
      </x:c>
      <x:c r="T15" s="52" t="str">
        <x:v>2026-09-02</x:v>
      </x:c>
    </x:row>
    <x:row r="16" ht="42" customHeight="1">
      <x:c r="A16" s="63" t="n">
        <x:v>15</x:v>
      </x:c>
      <x:c r="B16" s="63" t="n">
        <x:v>32</x:v>
      </x:c>
      <x:c r="C16" s="64" t="str">
        <x:v>P014</x:v>
      </x:c>
      <x:c r="D16" s="47" t="str">
        <x:v>Gen2Act: Human Video Generation in Novel Scenarios enables Generalizable Robot Manipulation</x:v>
      </x:c>
      <x:c r="E16" s="63" t="n">
        <x:v>2024</x:v>
      </x:c>
      <x:c r="F16" s="47" t="str">
        <x:v>Bridge</x:v>
      </x:c>
      <x:c r="G16" s="47" t="str">
        <x:v>G1</x:v>
      </x:c>
      <x:c r="H16" s="47" t="str">
        <x:v>Generated human video</x:v>
      </x:c>
      <x:c r="I16" s="47" t="str">
        <x:v>Direct policy</x:v>
      </x:c>
      <x:c r="J16" s="47" t="str">
        <x:v>Major</x:v>
      </x:c>
      <x:c r="K16" s="47" t="str">
        <x:v>Yes</x:v>
      </x:c>
      <x:c r="L16" s="47" t="str">
        <x:v>US</x:v>
      </x:c>
      <x:c r="M16" s="47" t="str">
        <x:v>Authors per paper</x:v>
      </x:c>
      <x:c r="N16" s="47" t="str">
        <x:v>https://arxiv.org/abs/2409.16283</x:v>
      </x:c>
      <x:c r="O16" s="47" t="str">
        <x:v>Generated videos supervise robot actions</x:v>
      </x:c>
      <x:c r="P16" s="51" t="n">
        <x:v>184</x:v>
      </x:c>
      <x:c r="Q16" s="51" t="n">
        <x:f>IF(P16="","",P16/MAX(1,2026-E16+1))</x:f>
        <x:v>61.333333333333336</x:v>
      </x:c>
      <x:c r="R16" s="47" t="str">
        <x:v>Observed scholarly-web-index count; rechecked 2026-09-02; versions may be split</x:v>
      </x:c>
      <x:c r="S16" s="47" t="str">
        <x:v>https://www.semanticscholar.org/search?q=Gen2Act%3A%20Human%20Video%20Generation%20in%20Novel%20Scenarios%20enables%20Generalizable%20Robot%20Manipulation</x:v>
      </x:c>
      <x:c r="T16" s="52" t="str">
        <x:v>2026-09-02</x:v>
      </x:c>
    </x:row>
    <x:row r="17" ht="42" customHeight="1">
      <x:c r="A17" s="63" t="n">
        <x:v>16</x:v>
      </x:c>
      <x:c r="B17" s="63" t="n">
        <x:v>33</x:v>
      </x:c>
      <x:c r="C17" s="64" t="str">
        <x:v>P042</x:v>
      </x:c>
      <x:c r="D17" s="47" t="str">
        <x:v>iVideoGPT: Interactive VideoGPTs are Scalable World Models</x:v>
      </x:c>
      <x:c r="E17" s="63" t="n">
        <x:v>2024</x:v>
      </x:c>
      <x:c r="F17" s="47" t="str">
        <x:v>Bridge</x:v>
      </x:c>
      <x:c r="G17" s="47" t="str">
        <x:v>G2</x:v>
      </x:c>
      <x:c r="H17" s="47" t="str">
        <x:v>Action-conditioned video, action, and reward tokens</x:v>
      </x:c>
      <x:c r="I17" s="47" t="str">
        <x:v>Planning</x:v>
      </x:c>
      <x:c r="J17" s="47" t="str">
        <x:v>Major</x:v>
      </x:c>
      <x:c r="K17" s="47" t="str">
        <x:v>Yes</x:v>
      </x:c>
      <x:c r="L17" s="47" t="str">
        <x:v>Asia</x:v>
      </x:c>
      <x:c r="M17" s="47" t="str">
        <x:v>Jialong Wu; Shaofeng Yin; Ningya Feng; Xu He; Dong Li; Jianye Hao; Mingsheng Long</x:v>
      </x:c>
      <x:c r="N17" s="47" t="str">
        <x:v>https://arxiv.org/abs/2405.15223</x:v>
      </x:c>
      <x:c r="O17" s="47" t="str">
        <x:v>Pretrained on large-scale human and robot manipulation video, then adapted to visual planning and model-based RL</x:v>
      </x:c>
      <x:c r="P17" s="51" t="n">
        <x:v>181</x:v>
      </x:c>
      <x:c r="Q17" s="51" t="n">
        <x:f>IF(P17="","",P17/MAX(1,2026-E17+1))</x:f>
        <x:v>60.333333333333336</x:v>
      </x:c>
      <x:c r="R17" s="47" t="str">
        <x:v>Observed scholarly-web-index count; rechecked 2026-09-02; versions may be split</x:v>
      </x:c>
      <x:c r="S17" s="47" t="str">
        <x:v>https://openreview.net/forum?id=4TENzBftZR</x:v>
      </x:c>
      <x:c r="T17" s="52" t="str">
        <x:v>2026-09-02</x:v>
      </x:c>
    </x:row>
    <x:row r="18" ht="42" customHeight="1">
      <x:c r="A18" s="63" t="n">
        <x:v>17</x:v>
      </x:c>
      <x:c r="B18" s="63" t="n">
        <x:v>34</x:v>
      </x:c>
      <x:c r="C18" s="64" t="str">
        <x:v>P020</x:v>
      </x:c>
      <x:c r="D18" s="47" t="str">
        <x:v>RoboCat: A Self-Improving Generalist Agent for Robotic Manipulation</x:v>
      </x:c>
      <x:c r="E18" s="63" t="n">
        <x:v>2023</x:v>
      </x:c>
      <x:c r="F18" s="47" t="str">
        <x:v>Robotics</x:v>
      </x:c>
      <x:c r="G18" s="47" t="str">
        <x:v>A</x:v>
      </x:c>
      <x:c r="H18" s="47" t="str">
        <x:v>Robot actions</x:v>
      </x:c>
      <x:c r="I18" s="47" t="str">
        <x:v>Direct policy</x:v>
      </x:c>
      <x:c r="J18" s="47" t="str">
        <x:v>Landmark</x:v>
      </x:c>
      <x:c r="K18" s="47" t="str">
        <x:v>Yes</x:v>
      </x:c>
      <x:c r="L18" s="47" t="str">
        <x:v>Europe</x:v>
      </x:c>
      <x:c r="M18" s="47" t="str">
        <x:v>Google DeepMind team; co-lead Agrim Gupta</x:v>
      </x:c>
      <x:c r="N18" s="47" t="str">
        <x:v>https://openreview.net/forum?id=vsCpILiWHu</x:v>
      </x:c>
      <x:c r="O18" s="47" t="str">
        <x:v>Generalist self-improving robotic agent</x:v>
      </x:c>
      <x:c r="P18" s="51" t="n">
        <x:v>161</x:v>
      </x:c>
      <x:c r="Q18" s="51" t="n">
        <x:f>IF(P18="","",P18/MAX(1,2026-E18+1))</x:f>
        <x:v>40.25</x:v>
      </x:c>
      <x:c r="R18" s="47" t="str">
        <x:v>Observed scholarly-web-index count; rechecked 2026-09-02; versions may be split</x:v>
      </x:c>
      <x:c r="S18" s="47" t="str">
        <x:v>https://www.semanticscholar.org/search?q=RoboCat%3A%20A%20Self-Improving%20Generalist%20Agent%20for%20Robotic%20Manipulation</x:v>
      </x:c>
      <x:c r="T18" s="52" t="str">
        <x:v>2026-09-02</x:v>
      </x:c>
    </x:row>
    <x:row r="19" ht="42" customHeight="1">
      <x:c r="A19" s="63" t="n">
        <x:v>18</x:v>
      </x:c>
      <x:c r="B19" s="63" t="n">
        <x:v>39</x:v>
      </x:c>
      <x:c r="C19" s="64" t="str">
        <x:v>P013</x:v>
      </x:c>
      <x:c r="D19" s="47" t="str">
        <x:v>SuSIE: Subgoal Synthesis via Image Editing</x:v>
      </x:c>
      <x:c r="E19" s="63" t="n">
        <x:v>2023</x:v>
      </x:c>
      <x:c r="F19" s="47" t="str">
        <x:v>Bridge</x:v>
      </x:c>
      <x:c r="G19" s="47" t="str">
        <x:v>G1</x:v>
      </x:c>
      <x:c r="H19" s="47" t="str">
        <x:v>Generated subgoal image</x:v>
      </x:c>
      <x:c r="I19" s="47" t="str">
        <x:v>Reward / affordance</x:v>
      </x:c>
      <x:c r="J19" s="47" t="str">
        <x:v>Major</x:v>
      </x:c>
      <x:c r="K19" s="47" t="str">
        <x:v>Yes</x:v>
      </x:c>
      <x:c r="L19" s="47" t="str">
        <x:v>US</x:v>
      </x:c>
      <x:c r="M19" s="47" t="str">
        <x:v>Kevin Black et al.</x:v>
      </x:c>
      <x:c r="N19" s="47" t="str">
        <x:v>https://arxiv.org/abs/2310.10639</x:v>
      </x:c>
      <x:c r="O19" s="47" t="str">
        <x:v>Generation supplies actionable visual subgoals</x:v>
      </x:c>
      <x:c r="P19" s="51" t="n">
        <x:v>82</x:v>
      </x:c>
      <x:c r="Q19" s="51" t="n">
        <x:f>IF(P19="","",P19/MAX(1,2026-E19+1))</x:f>
        <x:v>20.5</x:v>
      </x:c>
      <x:c r="R19" s="47" t="str">
        <x:v>Observed scholarly-web-index count; rechecked 2026-09-02; versions may be split</x:v>
      </x:c>
      <x:c r="S19" s="47" t="str">
        <x:v>https://www.semanticscholar.org/search?q=SuSIE%3A%20Subgoal%20Synthesis%20via%20Image%20Editing</x:v>
      </x:c>
      <x:c r="T19" s="52" t="str">
        <x:v>2026-09-02</x:v>
      </x:c>
    </x:row>
    <x:row r="20" ht="42" customHeight="1">
      <x:c r="A20" s="63" t="n">
        <x:v>19</x:v>
      </x:c>
      <x:c r="B20" s="63" t="n">
        <x:v>41</x:v>
      </x:c>
      <x:c r="C20" s="64" t="str">
        <x:v>P043</x:v>
      </x:c>
      <x:c r="D20" s="47" t="str">
        <x:v>IRASim: A Fine-Grained World Model for Robot Manipulation</x:v>
      </x:c>
      <x:c r="E20" s="63" t="n">
        <x:v>2024</x:v>
      </x:c>
      <x:c r="F20" s="47" t="str">
        <x:v>Bridge</x:v>
      </x:c>
      <x:c r="G20" s="47" t="str">
        <x:v>G2</x:v>
      </x:c>
      <x:c r="H20" s="47" t="str">
        <x:v>Robot-action-conditioned future video</x:v>
      </x:c>
      <x:c r="I20" s="47" t="str">
        <x:v>World simulation</x:v>
      </x:c>
      <x:c r="J20" s="47" t="str">
        <x:v>Major</x:v>
      </x:c>
      <x:c r="K20" s="47" t="str">
        <x:v>Yes</x:v>
      </x:c>
      <x:c r="L20" s="47" t="str">
        <x:v>Asia</x:v>
      </x:c>
      <x:c r="M20" s="47" t="str">
        <x:v>Fangqi Zhu; Hongtao Wu; Song Guo; Yuxiao Liu; Chilam Cheang; Tao Kong</x:v>
      </x:c>
      <x:c r="N20" s="47" t="str">
        <x:v>https://arxiv.org/abs/2406.14540</x:v>
      </x:c>
      <x:c r="O20" s="47" t="str">
        <x:v>Direct robot manipulation world model with frame-level action conditioning and policy-evaluation use</x:v>
      </x:c>
      <x:c r="P20" s="51" t="n">
        <x:v>70</x:v>
      </x:c>
      <x:c r="Q20" s="51" t="n">
        <x:f>IF(P20="","",P20/MAX(1,2026-E20+1))</x:f>
        <x:v>23.333333333333332</x:v>
      </x:c>
      <x:c r="R20" s="47" t="str">
        <x:v>Observed scholarly-web-index count; rechecked 2026-09-02; versions may be split</x:v>
      </x:c>
      <x:c r="S20" s="47" t="str">
        <x:v>https://arxiv.org/abs/2406.14540</x:v>
      </x:c>
      <x:c r="T20" s="52" t="str">
        <x:v>2026-09-02</x:v>
      </x:c>
    </x:row>
    <x:row r="21" ht="42" customHeight="1">
      <x:c r="A21" s="63" t="n">
        <x:v>20</x:v>
      </x:c>
      <x:c r="B21" s="63" t="n">
        <x:v>42</x:v>
      </x:c>
      <x:c r="C21" s="64" t="str">
        <x:v>P044</x:v>
      </x:c>
      <x:c r="D21" s="47" t="str">
        <x:v>Navigation World Models</x:v>
      </x:c>
      <x:c r="E21" s="63" t="n">
        <x:v>2024</x:v>
      </x:c>
      <x:c r="F21" s="47" t="str">
        <x:v>Bridge</x:v>
      </x:c>
      <x:c r="G21" s="47" t="str">
        <x:v>G2</x:v>
      </x:c>
      <x:c r="H21" s="47" t="str">
        <x:v>Navigation-action-conditioned future video</x:v>
      </x:c>
      <x:c r="I21" s="47" t="str">
        <x:v>Planning</x:v>
      </x:c>
      <x:c r="J21" s="47" t="str">
        <x:v>Major</x:v>
      </x:c>
      <x:c r="K21" s="47" t="str">
        <x:v>Yes</x:v>
      </x:c>
      <x:c r="L21" s="47" t="str">
        <x:v>Mixed</x:v>
      </x:c>
      <x:c r="M21" s="47" t="str">
        <x:v>Amir Bar; Gaoyue Zhou; Danny Tran; Trevor Darrell; Yann LeCun</x:v>
      </x:c>
      <x:c r="N21" s="47" t="str">
        <x:v>https://arxiv.org/abs/2412.03572</x:v>
      </x:c>
      <x:c r="O21" s="47" t="str">
        <x:v>Controllable video generation used to simulate and rank navigation trajectories for embodied agents</x:v>
      </x:c>
      <x:c r="P21" s="51" t="n">
        <x:v>70</x:v>
      </x:c>
      <x:c r="Q21" s="51" t="n">
        <x:f>IF(P21="","",P21/MAX(1,2026-E21+1))</x:f>
        <x:v>23.333333333333332</x:v>
      </x:c>
      <x:c r="R21" s="47" t="str">
        <x:v>Observed scholarly-web-index count; rechecked 2026-09-02; versions may be split</x:v>
      </x:c>
      <x:c r="S21" s="47" t="str">
        <x:v>https://scholargps.com/scholars/98004081812687/amir-bar</x:v>
      </x:c>
      <x:c r="T21" s="52" t="str">
        <x:v>2026-09-02</x:v>
      </x:c>
    </x:row>
    <x:row r="22" ht="42" customHeight="1">
      <x:c r="A22" s="63" t="n">
        <x:v>21</x:v>
      </x:c>
      <x:c r="B22" s="63" t="n">
        <x:v>43</x:v>
      </x:c>
      <x:c r="C22" s="64" t="str">
        <x:v>P038</x:v>
      </x:c>
      <x:c r="D22" s="47" t="str">
        <x:v>PointWorld: Scaling 3D World Models for In-the-Wild Robotic Manipulation</x:v>
      </x:c>
      <x:c r="E22" s="63" t="n">
        <x:v>2026</x:v>
      </x:c>
      <x:c r="F22" s="47" t="str">
        <x:v>Bridge</x:v>
      </x:c>
      <x:c r="G22" s="47" t="str">
        <x:v>U2</x:v>
      </x:c>
      <x:c r="H22" s="47" t="str">
        <x:v>3D point flows</x:v>
      </x:c>
      <x:c r="I22" s="47" t="str">
        <x:v>World simulation</x:v>
      </x:c>
      <x:c r="J22" s="47" t="str">
        <x:v>Emerging</x:v>
      </x:c>
      <x:c r="K22" s="47" t="str">
        <x:v>Yes</x:v>
      </x:c>
      <x:c r="L22" s="47" t="str">
        <x:v>US</x:v>
      </x:c>
      <x:c r="M22" s="47" t="str">
        <x:v>Wenlong Huang; Yu-Wei Chao; Arsalan Mousavian; Ming-Yu Liu; Dieter Fox; Kaichun Mo; Fei-Fei Li</x:v>
      </x:c>
      <x:c r="N22" s="47" t="str">
        <x:v>https://arxiv.org/abs/2601.03782</x:v>
      </x:c>
      <x:c r="O22" s="47" t="str">
        <x:v>Non-pixel predictive world model, useful architecture contrast</x:v>
      </x:c>
      <x:c r="P22" s="51" t="n">
        <x:v>67</x:v>
      </x:c>
      <x:c r="Q22" s="51" t="n">
        <x:f>IF(P22="","",P22/MAX(1,2026-E22+1))</x:f>
        <x:v>67</x:v>
      </x:c>
      <x:c r="R22" s="47" t="str">
        <x:v>Observed scholarly-web-index count; rechecked 2026-09-02; versions may be split</x:v>
      </x:c>
      <x:c r="S22" s="47" t="str">
        <x:v>https://www.semanticscholar.org/search?q=PointWorld%3A%20Scaling%203D%20World%20Models%20for%20In-the-Wild%20Robotic%20Manipulation</x:v>
      </x:c>
      <x:c r="T22" s="52" t="str">
        <x:v>2026-09-02</x:v>
      </x:c>
    </x:row>
    <x:row r="23" ht="42" customHeight="1">
      <x:c r="A23" s="63" t="n">
        <x:v>22</x:v>
      </x:c>
      <x:c r="B23" s="63" t="n">
        <x:v>44</x:v>
      </x:c>
      <x:c r="C23" s="64" t="str">
        <x:v>P021</x:v>
      </x:c>
      <x:c r="D23" s="47" t="str">
        <x:v>Vid2Robot: End-to-End Video-Conditioned Policy Learning with Cross-Attention Transformers</x:v>
      </x:c>
      <x:c r="E23" s="63" t="n">
        <x:v>2024</x:v>
      </x:c>
      <x:c r="F23" s="47" t="str">
        <x:v>Bridge</x:v>
      </x:c>
      <x:c r="G23" s="47" t="str">
        <x:v>U2</x:v>
      </x:c>
      <x:c r="H23" s="47" t="str">
        <x:v>Video-conditioned action</x:v>
      </x:c>
      <x:c r="I23" s="47" t="str">
        <x:v>Direct policy</x:v>
      </x:c>
      <x:c r="J23" s="47" t="str">
        <x:v>Major</x:v>
      </x:c>
      <x:c r="K23" s="47" t="str">
        <x:v>Yes</x:v>
      </x:c>
      <x:c r="L23" s="47" t="str">
        <x:v>Europe</x:v>
      </x:c>
      <x:c r="M23" s="47" t="str">
        <x:v>Authors per paper; DeepMind Robotics</x:v>
      </x:c>
      <x:c r="N23" s="47" t="str">
        <x:v>https://arxiv.org/abs/2403.12943</x:v>
      </x:c>
      <x:c r="O23" s="47" t="str">
        <x:v>Directly produces robot actions from human/robot video prompts</x:v>
      </x:c>
      <x:c r="P23" s="51" t="n">
        <x:v>65</x:v>
      </x:c>
      <x:c r="Q23" s="51" t="n">
        <x:f>IF(P23="","",P23/MAX(1,2026-E23+1))</x:f>
        <x:v>21.666666666666668</x:v>
      </x:c>
      <x:c r="R23" s="47" t="str">
        <x:v>Observed scholarly-web-index count; rechecked 2026-09-02; versions may be split</x:v>
      </x:c>
      <x:c r="S23" s="47" t="str">
        <x:v>https://www.semanticscholar.org/search?q=Vid2Robot%3A%20End-to-End%20Video-Conditioned%20Policy%20Learning%20with%20Cross-Attention%20Transformers</x:v>
      </x:c>
      <x:c r="T23" s="52" t="str">
        <x:v>2026-09-02</x:v>
      </x:c>
    </x:row>
    <x:row r="24" ht="42" customHeight="1">
      <x:c r="A24" s="63" t="n">
        <x:v>23</x:v>
      </x:c>
      <x:c r="B24" s="63" t="n">
        <x:v>45</x:v>
      </x:c>
      <x:c r="C24" s="64" t="str">
        <x:v>P022</x:v>
      </x:c>
      <x:c r="D24" s="47" t="str">
        <x:v>ViViDex: Learning Vision-Based Dexterous Manipulation from Human Videos</x:v>
      </x:c>
      <x:c r="E24" s="63" t="n">
        <x:v>2024</x:v>
      </x:c>
      <x:c r="F24" s="47" t="str">
        <x:v>Bridge</x:v>
      </x:c>
      <x:c r="G24" s="47" t="str">
        <x:v>U2</x:v>
      </x:c>
      <x:c r="H24" s="47" t="str">
        <x:v>Motion representation + actions</x:v>
      </x:c>
      <x:c r="I24" s="47" t="str">
        <x:v>Direct policy</x:v>
      </x:c>
      <x:c r="J24" s="47" t="str">
        <x:v>Major</x:v>
      </x:c>
      <x:c r="K24" s="47" t="str">
        <x:v>Yes</x:v>
      </x:c>
      <x:c r="L24" s="47" t="str">
        <x:v>Europe</x:v>
      </x:c>
      <x:c r="M24" s="47" t="str">
        <x:v>French/European collaboration</x:v>
      </x:c>
      <x:c r="N24" s="47" t="str">
        <x:v>https://arxiv.org/abs/2404.15709</x:v>
      </x:c>
      <x:c r="O24" s="47" t="str">
        <x:v>Human video interaction understanding for dexterous control</x:v>
      </x:c>
      <x:c r="P24" s="51" t="n">
        <x:v>62</x:v>
      </x:c>
      <x:c r="Q24" s="51" t="n">
        <x:f>IF(P24="","",P24/MAX(1,2026-E24+1))</x:f>
        <x:v>20.666666666666668</x:v>
      </x:c>
      <x:c r="R24" s="47" t="str">
        <x:v>Observed scholarly-web-index count; rechecked 2026-09-02; versions may be split</x:v>
      </x:c>
      <x:c r="S24" s="47" t="str">
        <x:v>https://www.semanticscholar.org/search?q=ViViDex%3A%20Learning%20Vision-Based%20Dexterous%20Manipulation%20from%20Human%20Videos</x:v>
      </x:c>
      <x:c r="T24" s="52" t="str">
        <x:v>2026-09-02</x:v>
      </x:c>
    </x:row>
    <x:row r="25" ht="42" customHeight="1">
      <x:c r="A25" s="63" t="n">
        <x:v>24</x:v>
      </x:c>
      <x:c r="B25" s="63" t="n">
        <x:v>46</x:v>
      </x:c>
      <x:c r="C25" s="64" t="str">
        <x:v>P046</x:v>
      </x:c>
      <x:c r="D25" s="47" t="str">
        <x:v>Vid2World: Crafting Video Diffusion Models to Interactive World Models</x:v>
      </x:c>
      <x:c r="E25" s="63" t="n">
        <x:v>2025</x:v>
      </x:c>
      <x:c r="F25" s="47" t="str">
        <x:v>Bridge</x:v>
      </x:c>
      <x:c r="G25" s="47" t="str">
        <x:v>G2</x:v>
      </x:c>
      <x:c r="H25" s="47" t="str">
        <x:v>Autoregressive action-conditioned future video</x:v>
      </x:c>
      <x:c r="I25" s="47" t="str">
        <x:v>World simulation</x:v>
      </x:c>
      <x:c r="J25" s="47" t="str">
        <x:v>Major</x:v>
      </x:c>
      <x:c r="K25" s="47" t="str">
        <x:v>Yes</x:v>
      </x:c>
      <x:c r="L25" s="47" t="str">
        <x:v>Asia</x:v>
      </x:c>
      <x:c r="M25" s="47" t="str">
        <x:v>Siqiao Huang; Jialong Wu; Qixing Zhou; Shangchen Miao; Mingsheng Long</x:v>
      </x:c>
      <x:c r="N25" s="47" t="str">
        <x:v>https://arxiv.org/abs/2505.14357</x:v>
      </x:c>
      <x:c r="O25" s="47" t="str">
        <x:v>Repurposes pretrained video diffusion for robot manipulation, game simulation, and navigation</x:v>
      </x:c>
      <x:c r="P25" s="51" t="n">
        <x:v>57</x:v>
      </x:c>
      <x:c r="Q25" s="51" t="n">
        <x:f>IF(P25="","",P25/MAX(1,2026-E25+1))</x:f>
        <x:v>28.5</x:v>
      </x:c>
      <x:c r="R25" s="47" t="str">
        <x:v>Observed scholarly-web-index count; rechecked 2026-09-02; versions may be split</x:v>
      </x:c>
      <x:c r="S25" s="47" t="str">
        <x:v>https://openreview.net/forum?id=pFyzqbUiF9</x:v>
      </x:c>
      <x:c r="T25" s="52" t="str">
        <x:v>2026-09-02</x:v>
      </x:c>
    </x:row>
    <x:row r="26" ht="42" customHeight="1">
      <x:c r="A26" s="63" t="n">
        <x:v>25</x:v>
      </x:c>
      <x:c r="B26" s="63" t="n">
        <x:v>47</x:v>
      </x:c>
      <x:c r="C26" s="64" t="str">
        <x:v>P018</x:v>
      </x:c>
      <x:c r="D26" s="47" t="str">
        <x:v>GWM: Towards Scalable Gaussian World Models for Robotic Manipulation</x:v>
      </x:c>
      <x:c r="E26" s="63" t="n">
        <x:v>2025</x:v>
      </x:c>
      <x:c r="F26" s="47" t="str">
        <x:v>Bridge</x:v>
      </x:c>
      <x:c r="G26" s="47" t="str">
        <x:v>G2</x:v>
      </x:c>
      <x:c r="H26" s="47" t="str">
        <x:v>3D Gaussians / future state</x:v>
      </x:c>
      <x:c r="I26" s="47" t="str">
        <x:v>World simulation</x:v>
      </x:c>
      <x:c r="J26" s="47" t="str">
        <x:v>Major</x:v>
      </x:c>
      <x:c r="K26" s="47" t="str">
        <x:v>Yes</x:v>
      </x:c>
      <x:c r="L26" s="47" t="str">
        <x:v>Asia</x:v>
      </x:c>
      <x:c r="M26" s="47" t="str">
        <x:v>Guanxing Lu; Baoxiong Jia; Puhao Li; Yixin Chen; Ziwei Wang; Yansong Tang; Siyuan Huang</x:v>
      </x:c>
      <x:c r="N26" s="47" t="str">
        <x:v>https://arxiv.org/abs/2508.17600</x:v>
      </x:c>
      <x:c r="O26" s="47" t="str">
        <x:v>3D action-conditioned dynamics rather than raw RGB only</x:v>
      </x:c>
      <x:c r="P26" s="51" t="n">
        <x:v>55</x:v>
      </x:c>
      <x:c r="Q26" s="51" t="n">
        <x:f>IF(P26="","",P26/MAX(1,2026-E26+1))</x:f>
        <x:v>27.5</x:v>
      </x:c>
      <x:c r="R26" s="47" t="str">
        <x:v>Observed scholarly-web-index count; rechecked 2026-09-02; versions may be split</x:v>
      </x:c>
      <x:c r="S26" s="47" t="str">
        <x:v>https://www.semanticscholar.org/search?q=GWM%3A%20Towards%20Scalable%20Gaussian%20World%20Models%20for%20Robotic%20Manipulation</x:v>
      </x:c>
      <x:c r="T26" s="52" t="str">
        <x:v>2026-09-02</x:v>
      </x:c>
    </x:row>
    <x:row r="27" ht="42" customHeight="1">
      <x:c r="A27" s="63" t="n">
        <x:v>26</x:v>
      </x:c>
      <x:c r="B27" s="63" t="n">
        <x:v>48</x:v>
      </x:c>
      <x:c r="C27" s="64" t="str">
        <x:v>P039</x:v>
      </x:c>
      <x:c r="D27" s="47" t="str">
        <x:v>RIGVid: Robots Imitating Generated Videos</x:v>
      </x:c>
      <x:c r="E27" s="63" t="n">
        <x:v>2025</x:v>
      </x:c>
      <x:c r="F27" s="47" t="str">
        <x:v>Bridge</x:v>
      </x:c>
      <x:c r="G27" s="47" t="str">
        <x:v>G1</x:v>
      </x:c>
      <x:c r="H27" s="47" t="str">
        <x:v>Generated demonstration video</x:v>
      </x:c>
      <x:c r="I27" s="47" t="str">
        <x:v>Data generation</x:v>
      </x:c>
      <x:c r="J27" s="47" t="str">
        <x:v>Emerging</x:v>
      </x:c>
      <x:c r="K27" s="47" t="str">
        <x:v>Yes</x:v>
      </x:c>
      <x:c r="L27" s="47" t="str">
        <x:v>Europe</x:v>
      </x:c>
      <x:c r="M27" s="47" t="str">
        <x:v>Authors per paper</x:v>
      </x:c>
      <x:c r="N27" s="47" t="str">
        <x:v>https://arxiv.org/abs/2507.00990</x:v>
      </x:c>
      <x:c r="O27" s="47" t="str">
        <x:v>Generated video substitutes for physical demonstrations</x:v>
      </x:c>
      <x:c r="P27" s="51" t="n">
        <x:v>40</x:v>
      </x:c>
      <x:c r="Q27" s="51" t="n">
        <x:f>IF(P27="","",P27/MAX(1,2026-E27+1))</x:f>
        <x:v>20</x:v>
      </x:c>
      <x:c r="R27" s="47" t="str">
        <x:v>Observed scholarly-web-index count; rechecked 2026-09-02; versions may be split</x:v>
      </x:c>
      <x:c r="S27" s="47" t="str">
        <x:v>https://www.semanticscholar.org/search?q=RIGVid%3A%20Robots%20Imitating%20Generated%20Videos</x:v>
      </x:c>
      <x:c r="T27" s="52" t="str">
        <x:v>2026-09-02</x:v>
      </x:c>
    </x:row>
    <x:row r="28" ht="42" customHeight="1">
      <x:c r="A28" s="63" t="n">
        <x:v>27</x:v>
      </x:c>
      <x:c r="B28" s="63" t="n">
        <x:v>49</x:v>
      </x:c>
      <x:c r="C28" s="64" t="str">
        <x:v>P023</x:v>
      </x:c>
      <x:c r="D28" s="47" t="str">
        <x:v>Learning Video-Conditioned Policies for Unseen Manipulation Tasks</x:v>
      </x:c>
      <x:c r="E28" s="63" t="n">
        <x:v>2023</x:v>
      </x:c>
      <x:c r="F28" s="47" t="str">
        <x:v>Bridge</x:v>
      </x:c>
      <x:c r="G28" s="47" t="str">
        <x:v>U2</x:v>
      </x:c>
      <x:c r="H28" s="47" t="str">
        <x:v>Video-conditioned action</x:v>
      </x:c>
      <x:c r="I28" s="47" t="str">
        <x:v>Direct policy</x:v>
      </x:c>
      <x:c r="J28" s="47" t="str">
        <x:v>Major</x:v>
      </x:c>
      <x:c r="K28" s="47" t="str">
        <x:v>Yes</x:v>
      </x:c>
      <x:c r="L28" s="47" t="str">
        <x:v>Europe</x:v>
      </x:c>
      <x:c r="M28" s="47" t="str">
        <x:v>Elliot Chane-Sane; Cordelia Schmid; Ivan Laptev</x:v>
      </x:c>
      <x:c r="N28" s="47" t="str">
        <x:v>https://arxiv.org/abs/2305.06289</x:v>
      </x:c>
      <x:c r="O28" s="47" t="str">
        <x:v>Direct European understanding-to-policy bridge</x:v>
      </x:c>
      <x:c r="P28" s="51" t="n">
        <x:v>37</x:v>
      </x:c>
      <x:c r="Q28" s="51" t="n">
        <x:f>IF(P28="","",P28/MAX(1,2026-E28+1))</x:f>
        <x:v>9.25</x:v>
      </x:c>
      <x:c r="R28" s="47" t="str">
        <x:v>Observed scholarly-web-index count; rechecked 2026-09-02; versions may be split</x:v>
      </x:c>
      <x:c r="S28" s="47" t="str">
        <x:v>https://www.semanticscholar.org/search?q=Learning%20Video-Conditioned%20Policies%20for%20Unseen%20Manipulation%20Tasks</x:v>
      </x:c>
      <x:c r="T28" s="52" t="str">
        <x:v>2026-09-02</x:v>
      </x:c>
    </x:row>
    <x:row r="29" ht="42" customHeight="1">
      <x:c r="A29" s="63" t="n">
        <x:v>28</x:v>
      </x:c>
      <x:c r="B29" s="63" t="n">
        <x:v>50</x:v>
      </x:c>
      <x:c r="C29" s="64" t="str">
        <x:v>P045</x:v>
      </x:c>
      <x:c r="D29" s="47" t="str">
        <x:v>AVID: Adapting Video Diffusion Models to World Models</x:v>
      </x:c>
      <x:c r="E29" s="63" t="n">
        <x:v>2024</x:v>
      </x:c>
      <x:c r="F29" s="47" t="str">
        <x:v>Bridge</x:v>
      </x:c>
      <x:c r="G29" s="47" t="str">
        <x:v>G2</x:v>
      </x:c>
      <x:c r="H29" s="47" t="str">
        <x:v>Action-conditioned future video</x:v>
      </x:c>
      <x:c r="I29" s="47" t="str">
        <x:v>World simulation</x:v>
      </x:c>
      <x:c r="J29" s="47" t="str">
        <x:v>Major</x:v>
      </x:c>
      <x:c r="K29" s="47" t="str">
        <x:v>Yes</x:v>
      </x:c>
      <x:c r="L29" s="47" t="str">
        <x:v>Mixed</x:v>
      </x:c>
      <x:c r="M29" s="47" t="str">
        <x:v>Marc Rigter; Tarun Gupta; Agrin Hilmkil; Chao Ma</x:v>
      </x:c>
      <x:c r="N29" s="47" t="str">
        <x:v>https://arxiv.org/abs/2410.12822</x:v>
      </x:c>
      <x:c r="O29" s="47" t="str">
        <x:v>Adapts a pretrained image-to-video diffusion model to action-conditioned robotics and game rollouts</x:v>
      </x:c>
      <x:c r="P29" s="51" t="n">
        <x:v>35</x:v>
      </x:c>
      <x:c r="Q29" s="51" t="n">
        <x:f>IF(P29="","",P29/MAX(1,2026-E29+1))</x:f>
        <x:v>11.666666666666666</x:v>
      </x:c>
      <x:c r="R29" s="47" t="str">
        <x:v>Observed scholarly-web-index count; rechecked 2026-09-02; versions may be split</x:v>
      </x:c>
      <x:c r="S29" s="47" t="str">
        <x:v>https://openreview.net/forum?id=15ASUbzg0N</x:v>
      </x:c>
      <x:c r="T29" s="52" t="str">
        <x:v>2026-09-02</x:v>
      </x:c>
    </x:row>
    <x:row r="30" ht="42" customHeight="1">
      <x:c r="A30" s="63" t="n">
        <x:v>29</x:v>
      </x:c>
      <x:c r="B30" s="63" t="n">
        <x:v>53</x:v>
      </x:c>
      <x:c r="C30" s="64" t="str">
        <x:v>P026</x:v>
      </x:c>
      <x:c r="D30" s="47" t="str">
        <x:v>Dream2Flow: Bridging Video Generation and Open-World Manipulation with 3D Object Flow</x:v>
      </x:c>
      <x:c r="E30" s="63" t="n">
        <x:v>2026</x:v>
      </x:c>
      <x:c r="F30" s="47" t="str">
        <x:v>Bridge</x:v>
      </x:c>
      <x:c r="G30" s="47" t="str">
        <x:v>G2</x:v>
      </x:c>
      <x:c r="H30" s="47" t="str">
        <x:v>3D object flow</x:v>
      </x:c>
      <x:c r="I30" s="47" t="str">
        <x:v>Planning</x:v>
      </x:c>
      <x:c r="J30" s="47" t="str">
        <x:v>Emerging</x:v>
      </x:c>
      <x:c r="K30" s="47" t="str">
        <x:v>Yes</x:v>
      </x:c>
      <x:c r="L30" s="47" t="str">
        <x:v>US</x:v>
      </x:c>
      <x:c r="M30" s="47" t="str">
        <x:v>Karthik Dharmarajan; Wenlong Huang; Jiajun Wu; Li Fei-Fei; Ruohan Zhang</x:v>
      </x:c>
      <x:c r="N30" s="47" t="str">
        <x:v>https://jiajunwu.com/</x:v>
      </x:c>
      <x:c r="O30" s="47" t="str">
        <x:v>Explicit video-generation-to-manipulation bridge</x:v>
      </x:c>
      <x:c r="P30" s="51" t="n">
        <x:v>8</x:v>
      </x:c>
      <x:c r="Q30" s="51" t="n">
        <x:f>IF(P30="","",P30/MAX(1,2026-E30+1))</x:f>
        <x:v>8</x:v>
      </x:c>
      <x:c r="R30" s="47" t="str">
        <x:v>Observed scholarly-web-index count; rechecked 2026-09-02; versions may be split</x:v>
      </x:c>
      <x:c r="S30" s="47" t="str">
        <x:v>https://www.semanticscholar.org/search?q=Dream2Flow%3A%20Bridging%20Video%20Generation%20and%20Open-World%20Manipulation%20with%203D%20Object%20Flow</x:v>
      </x:c>
      <x:c r="T30" s="52" t="str">
        <x:v>2026-09-02</x:v>
      </x:c>
    </x:row>
    <x:row r="31" ht="42" customHeight="1">
      <x:c r="A31" s="63" t="n">
        <x:v>30</x:v>
      </x:c>
      <x:c r="B31" s="63" t="n">
        <x:v>54</x:v>
      </x:c>
      <x:c r="C31" s="64" t="str">
        <x:v>P027</x:v>
      </x:c>
      <x:c r="D31" s="47" t="str">
        <x:v>Gemini Robotics 1.5</x:v>
      </x:c>
      <x:c r="E31" s="63" t="n">
        <x:v>2025</x:v>
      </x:c>
      <x:c r="F31" s="47" t="str">
        <x:v>Robotics</x:v>
      </x:c>
      <x:c r="G31" s="47" t="str">
        <x:v>VL</x:v>
      </x:c>
      <x:c r="H31" s="47" t="str">
        <x:v>Robot actions</x:v>
      </x:c>
      <x:c r="I31" s="47" t="str">
        <x:v>Direct policy</x:v>
      </x:c>
      <x:c r="J31" s="47" t="str">
        <x:v>Landmark</x:v>
      </x:c>
      <x:c r="K31" s="47" t="str">
        <x:v>Yes</x:v>
      </x:c>
      <x:c r="L31" s="47" t="str">
        <x:v>Europe</x:v>
      </x:c>
      <x:c r="M31" s="47" t="str">
        <x:v>Google DeepMind robotics team incl. Agrim Gupta</x:v>
      </x:c>
      <x:c r="N31" s="47" t="str">
        <x:v>https://arxiv.org/abs/2510.03342</x:v>
      </x:c>
      <x:c r="O31" s="47" t="str">
        <x:v>Generalist VLA with embodied reasoning</x:v>
      </x:c>
      <x:c r="P31" s="51" t="n">
        <x:v>7</x:v>
      </x:c>
      <x:c r="Q31" s="51" t="n">
        <x:f>IF(P31="","",P31/MAX(1,2026-E31+1))</x:f>
        <x:v>3.5</x:v>
      </x:c>
      <x:c r="R31" s="47" t="str">
        <x:v>Observed scholarly-web-index count; rechecked 2026-09-02; versions may be split</x:v>
      </x:c>
      <x:c r="S31" s="47" t="str">
        <x:v>https://www.semanticscholar.org/search?q=Gemini%20Robotics%201.5</x:v>
      </x:c>
      <x:c r="T31" s="52" t="str">
        <x:v>2026-09-02</x:v>
      </x:c>
    </x:row>
    <x:row r="32" ht="42" customHeight="1">
      <x:c r="A32" s="63" t="n">
        <x:v>31</x:v>
      </x:c>
      <x:c r="B32" s="63" t="n">
        <x:v>55</x:v>
      </x:c>
      <x:c r="C32" s="64" t="str">
        <x:v>P032</x:v>
      </x:c>
      <x:c r="D32" s="47" t="str">
        <x:v>1X World Model</x:v>
      </x:c>
      <x:c r="E32" s="63" t="n">
        <x:v>2025</x:v>
      </x:c>
      <x:c r="F32" s="47" t="str">
        <x:v>Bridge</x:v>
      </x:c>
      <x:c r="G32" s="47" t="str">
        <x:v>G2</x:v>
      </x:c>
      <x:c r="H32" s="47" t="str">
        <x:v>Action-conditioned future pixels</x:v>
      </x:c>
      <x:c r="I32" s="47" t="str">
        <x:v>World simulation</x:v>
      </x:c>
      <x:c r="J32" s="47" t="str">
        <x:v>Emerging</x:v>
      </x:c>
      <x:c r="K32" s="47" t="str">
        <x:v>Yes</x:v>
      </x:c>
      <x:c r="L32" s="47" t="str">
        <x:v>US</x:v>
      </x:c>
      <x:c r="M32" s="47" t="str">
        <x:v>1X World Model Lab</x:v>
      </x:c>
      <x:c r="N32" s="47" t="str">
        <x:v>https://www.1x.tech/discover/world-model-self-learning</x:v>
      </x:c>
      <x:c r="O32" s="47" t="str">
        <x:v>Robot video world model and self-learning system</x:v>
      </x:c>
      <x:c r="P32" s="51" t="n">
        <x:v>5</x:v>
      </x:c>
      <x:c r="Q32" s="51" t="n">
        <x:f>IF(P32="","",P32/MAX(1,2026-E32+1))</x:f>
        <x:v>2.5</x:v>
      </x:c>
      <x:c r="R32" s="47" t="str">
        <x:v>Observed scholarly-web-index count; rechecked 2026-09-02; versions may be split</x:v>
      </x:c>
      <x:c r="S32" s="47" t="str">
        <x:v>https://www.semanticscholar.org/search?q=1X%20World%20Model</x:v>
      </x:c>
      <x:c r="T32" s="52" t="str">
        <x:v>2026-09-02</x:v>
      </x:c>
    </x:row>
    <x:row r="33" ht="42" customHeight="1">
      <x:c r="A33" s="63"/>
      <x:c r="B33" s="63" t="n">
        <x:v>2</x:v>
      </x:c>
      <x:c r="C33" s="64" t="str">
        <x:v>P028</x:v>
      </x:c>
      <x:c r="D33" s="47" t="str">
        <x:v>RT-2: Vision-Language-Action Models Transfer Web Knowledge to Robotic Control</x:v>
      </x:c>
      <x:c r="E33" s="63" t="n">
        <x:v>2023</x:v>
      </x:c>
      <x:c r="F33" s="47" t="str">
        <x:v>Robotics</x:v>
      </x:c>
      <x:c r="G33" s="47" t="str">
        <x:v>VL</x:v>
      </x:c>
      <x:c r="H33" s="47" t="str">
        <x:v>Robot action tokens</x:v>
      </x:c>
      <x:c r="I33" s="47" t="str">
        <x:v>Direct policy</x:v>
      </x:c>
      <x:c r="J33" s="47" t="str">
        <x:v>Landmark</x:v>
      </x:c>
      <x:c r="K33" s="47" t="str">
        <x:v>Adjacent</x:v>
      </x:c>
      <x:c r="L33" s="47" t="str">
        <x:v>US</x:v>
      </x:c>
      <x:c r="M33" s="47" t="str">
        <x:v>Anthony Brohan et al.</x:v>
      </x:c>
      <x:c r="N33" s="47" t="str">
        <x:v>https://arxiv.org/abs/2307.15818</x:v>
      </x:c>
      <x:c r="O33" s="47" t="str">
        <x:v>Key VLA control baseline; not specifically video-origin</x:v>
      </x:c>
      <x:c r="P33" s="51" t="n">
        <x:v>3936</x:v>
      </x:c>
      <x:c r="Q33" s="51" t="n">
        <x:f>IF(P33="","",P33/MAX(1,2026-E33+1))</x:f>
        <x:v>984</x:v>
      </x:c>
      <x:c r="R33" s="47" t="str">
        <x:v>Observed scholarly-web-index count; rechecked 2026-09-02; versions may be split</x:v>
      </x:c>
      <x:c r="S33" s="47" t="str">
        <x:v>https://www.semanticscholar.org/search?q=RT-2%3A%20Vision-Language-Action%20Models%20Transfer%20Web%20Knowledge%20to%20Robotic%20Control</x:v>
      </x:c>
      <x:c r="T33" s="52" t="str">
        <x:v>2026-09-02</x:v>
      </x:c>
    </x:row>
    <x:row r="34" ht="42" customHeight="1">
      <x:c r="A34" s="63"/>
      <x:c r="B34" s="63" t="n">
        <x:v>3</x:v>
      </x:c>
      <x:c r="C34" s="64" t="str">
        <x:v>P031</x:v>
      </x:c>
      <x:c r="D34" s="47" t="str">
        <x:v>Diffusion Policy: Visuomotor Policy Learning via Action Diffusion</x:v>
      </x:c>
      <x:c r="E34" s="63" t="n">
        <x:v>2023</x:v>
      </x:c>
      <x:c r="F34" s="47" t="str">
        <x:v>Robotics</x:v>
      </x:c>
      <x:c r="G34" s="47" t="str">
        <x:v>A</x:v>
      </x:c>
      <x:c r="H34" s="47" t="str">
        <x:v>Action trajectories</x:v>
      </x:c>
      <x:c r="I34" s="47" t="str">
        <x:v>Direct policy</x:v>
      </x:c>
      <x:c r="J34" s="47" t="str">
        <x:v>Landmark</x:v>
      </x:c>
      <x:c r="K34" s="47" t="str">
        <x:v>Adjacent</x:v>
      </x:c>
      <x:c r="L34" s="47" t="str">
        <x:v>US</x:v>
      </x:c>
      <x:c r="M34" s="47" t="str">
        <x:v>Cheng Chi; Zhenjia Xu; Siyuan Feng; Eric Cousineau; Yilun Du et al.</x:v>
      </x:c>
      <x:c r="N34" s="47" t="str">
        <x:v>https://arxiv.org/abs/2303.04137</x:v>
      </x:c>
      <x:c r="O34" s="47" t="str">
        <x:v>Generative architecture in action space, not video generation</x:v>
      </x:c>
      <x:c r="P34" s="51" t="n">
        <x:v>3896</x:v>
      </x:c>
      <x:c r="Q34" s="51" t="n">
        <x:f>IF(P34="","",P34/MAX(1,2026-E34+1))</x:f>
        <x:v>974</x:v>
      </x:c>
      <x:c r="R34" s="47" t="str">
        <x:v>Observed scholarly-web-index count; rechecked 2026-09-02; versions may be split</x:v>
      </x:c>
      <x:c r="S34" s="47" t="str">
        <x:v>https://www.semanticscholar.org/search?q=Diffusion%20Policy%3A%20Visuomotor%20Policy%20Learning%20via%20Action%20Diffusion</x:v>
      </x:c>
      <x:c r="T34" s="52" t="str">
        <x:v>2026-09-02</x:v>
      </x:c>
    </x:row>
    <x:row r="35" ht="42" customHeight="1">
      <x:c r="A35" s="63"/>
      <x:c r="B35" s="63" t="n">
        <x:v>4</x:v>
      </x:c>
      <x:c r="C35" s="64" t="str">
        <x:v>P029</x:v>
      </x:c>
      <x:c r="D35" s="47" t="str">
        <x:v>OpenVLA: An Open-Source Vision-Language-Action Model</x:v>
      </x:c>
      <x:c r="E35" s="63" t="n">
        <x:v>2024</x:v>
      </x:c>
      <x:c r="F35" s="47" t="str">
        <x:v>Robotics</x:v>
      </x:c>
      <x:c r="G35" s="47" t="str">
        <x:v>VL</x:v>
      </x:c>
      <x:c r="H35" s="47" t="str">
        <x:v>Robot actions</x:v>
      </x:c>
      <x:c r="I35" s="47" t="str">
        <x:v>Direct policy</x:v>
      </x:c>
      <x:c r="J35" s="47" t="str">
        <x:v>Landmark</x:v>
      </x:c>
      <x:c r="K35" s="47" t="str">
        <x:v>Adjacent</x:v>
      </x:c>
      <x:c r="L35" s="47" t="str">
        <x:v>US</x:v>
      </x:c>
      <x:c r="M35" s="47" t="str">
        <x:v>Moo Jin Kim et al.</x:v>
      </x:c>
      <x:c r="N35" s="47" t="str">
        <x:v>https://arxiv.org/abs/2406.09246</x:v>
      </x:c>
      <x:c r="O35" s="47" t="str">
        <x:v>Open VLA baseline and robotics importance anchor</x:v>
      </x:c>
      <x:c r="P35" s="51" t="n">
        <x:v>3125</x:v>
      </x:c>
      <x:c r="Q35" s="51" t="n">
        <x:f>IF(P35="","",P35/MAX(1,2026-E35+1))</x:f>
        <x:v>1041.6666666666667</x:v>
      </x:c>
      <x:c r="R35" s="47" t="str">
        <x:v>Observed scholarly-web-index count; rechecked 2026-09-02; versions may be split</x:v>
      </x:c>
      <x:c r="S35" s="47" t="str">
        <x:v>https://www.semanticscholar.org/search?q=OpenVLA%3A%20An%20Open-Source%20Vision-Language-Action%20Model</x:v>
      </x:c>
      <x:c r="T35" s="52" t="str">
        <x:v>2026-09-02</x:v>
      </x:c>
    </x:row>
    <x:row r="36" ht="42" customHeight="1">
      <x:c r="A36" s="63"/>
      <x:c r="B36" s="63" t="n">
        <x:v>7</x:v>
      </x:c>
      <x:c r="C36" s="64" t="str">
        <x:v>P047</x:v>
      </x:c>
      <x:c r="D36" s="47" t="str">
        <x:v>Action-Conditional Video Prediction using Deep Networks in Atari Games</x:v>
      </x:c>
      <x:c r="E36" s="63" t="n">
        <x:v>2015</x:v>
      </x:c>
      <x:c r="F36" s="47" t="str">
        <x:v>Interactive WM</x:v>
      </x:c>
      <x:c r="G36" s="47" t="str">
        <x:v>G2</x:v>
      </x:c>
      <x:c r="H36" s="47" t="str">
        <x:v>Action-conditioned next frames</x:v>
      </x:c>
      <x:c r="I36" s="47" t="str">
        <x:v>World simulation</x:v>
      </x:c>
      <x:c r="J36" s="47" t="str">
        <x:v>Landmark</x:v>
      </x:c>
      <x:c r="K36" s="47" t="str">
        <x:v>Adjacent</x:v>
      </x:c>
      <x:c r="L36" s="47" t="str">
        <x:v>US</x:v>
      </x:c>
      <x:c r="M36" s="47" t="str">
        <x:v>Junhyuk Oh; Xiaoxiao Guo; Honglak Lee; Richard Lewis; Satinder Singh</x:v>
      </x:c>
      <x:c r="N36" s="47" t="str">
        <x:v>https://dl.acm.org/doi/10.5555/2969442.2969560</x:v>
      </x:c>
      <x:c r="O36" s="47" t="str">
        <x:v>Early action-to-future-frame baseline for the interactive visual world-model lineage; no robot transfer claim</x:v>
      </x:c>
      <x:c r="P36" s="51" t="n">
        <x:v>1151</x:v>
      </x:c>
      <x:c r="Q36" s="51" t="n">
        <x:f>IF(P36="","",P36/MAX(1,2026-E36+1))</x:f>
        <x:v>95.91666666666667</x:v>
      </x:c>
      <x:c r="R36" s="47" t="str">
        <x:v>Observed scholarly-web-index count; rechecked 2026-09-02; versions may be split</x:v>
      </x:c>
      <x:c r="S36" s="47" t="str">
        <x:v>https://dl.acm.org/doi/10.5555/2969442.2969560</x:v>
      </x:c>
      <x:c r="T36" s="52" t="str">
        <x:v>2026-09-02</x:v>
      </x:c>
    </x:row>
    <x:row r="37" ht="42" customHeight="1">
      <x:c r="A37" s="63"/>
      <x:c r="B37" s="63" t="n">
        <x:v>10</x:v>
      </x:c>
      <x:c r="C37" s="64" t="str">
        <x:v>P008</x:v>
      </x:c>
      <x:c r="D37" s="47" t="str">
        <x:v>Stochastic Variational Video Prediction (SV2P)</x:v>
      </x:c>
      <x:c r="E37" s="63" t="n">
        <x:v>2017</x:v>
      </x:c>
      <x:c r="F37" s="47" t="str">
        <x:v>Video</x:v>
      </x:c>
      <x:c r="G37" s="47" t="str">
        <x:v>G2</x:v>
      </x:c>
      <x:c r="H37" s="47" t="str">
        <x:v>Future pixels</x:v>
      </x:c>
      <x:c r="I37" s="47" t="str">
        <x:v>Planning</x:v>
      </x:c>
      <x:c r="J37" s="47" t="str">
        <x:v>Landmark</x:v>
      </x:c>
      <x:c r="K37" s="47" t="str">
        <x:v>Adjacent</x:v>
      </x:c>
      <x:c r="L37" s="47" t="str">
        <x:v>US</x:v>
      </x:c>
      <x:c r="M37" s="47" t="str">
        <x:v>Mohammad Babaeizadeh; Chelsea Finn; Dumitru Erhan; Roy Campbell; Sergey Levine</x:v>
      </x:c>
      <x:c r="N37" s="47" t="str">
        <x:v>https://arxiv.org/abs/1710.11252</x:v>
      </x:c>
      <x:c r="O37" s="47" t="str">
        <x:v>Foundational stochastic future prediction with control relevance</x:v>
      </x:c>
      <x:c r="P37" s="51" t="n">
        <x:v>760</x:v>
      </x:c>
      <x:c r="Q37" s="51" t="n">
        <x:f>IF(P37="","",P37/MAX(1,2026-E37+1))</x:f>
        <x:v>76</x:v>
      </x:c>
      <x:c r="R37" s="47" t="str">
        <x:v>Observed scholarly-web-index count; rechecked 2026-09-02; versions may be split</x:v>
      </x:c>
      <x:c r="S37" s="47" t="str">
        <x:v>https://www.semanticscholar.org/search?q=Stochastic%20Variational%20Video%20Prediction%20(SV2P)</x:v>
      </x:c>
      <x:c r="T37" s="52" t="str">
        <x:v>2026-09-02</x:v>
      </x:c>
    </x:row>
    <x:row r="38" ht="42" customHeight="1">
      <x:c r="A38" s="63"/>
      <x:c r="B38" s="63" t="n">
        <x:v>12</x:v>
      </x:c>
      <x:c r="C38" s="64" t="str">
        <x:v>P034</x:v>
      </x:c>
      <x:c r="D38" s="47" t="str">
        <x:v>CALVIN: A Benchmark for Language-Conditioned Policy Learning for Long-Horizon Robot Manipulation</x:v>
      </x:c>
      <x:c r="E38" s="63" t="n">
        <x:v>2021</x:v>
      </x:c>
      <x:c r="F38" s="47" t="str">
        <x:v>Robotics</x:v>
      </x:c>
      <x:c r="G38" s="47" t="str">
        <x:v>VL</x:v>
      </x:c>
      <x:c r="H38" s="47" t="str">
        <x:v>Robot actions</x:v>
      </x:c>
      <x:c r="I38" s="47" t="str">
        <x:v>Direct policy</x:v>
      </x:c>
      <x:c r="J38" s="47" t="str">
        <x:v>Landmark</x:v>
      </x:c>
      <x:c r="K38" s="47" t="str">
        <x:v>Adjacent</x:v>
      </x:c>
      <x:c r="L38" s="47" t="str">
        <x:v>Europe</x:v>
      </x:c>
      <x:c r="M38" s="47" t="str">
        <x:v>Oier Mees et al.</x:v>
      </x:c>
      <x:c r="N38" s="47" t="str">
        <x:v>https://arxiv.org/abs/2112.03227</x:v>
      </x:c>
      <x:c r="O38" s="47" t="str">
        <x:v>European generalist robot-learning anchor</x:v>
      </x:c>
      <x:c r="P38" s="51" t="n">
        <x:v>735</x:v>
      </x:c>
      <x:c r="Q38" s="51" t="n">
        <x:f>IF(P38="","",P38/MAX(1,2026-E38+1))</x:f>
        <x:v>122.5</x:v>
      </x:c>
      <x:c r="R38" s="47" t="str">
        <x:v>Observed scholarly-web-index count; rechecked 2026-09-02; versions may be split</x:v>
      </x:c>
      <x:c r="S38" s="47" t="str">
        <x:v>https://www.semanticscholar.org/search?q=CALVIN%3A%20A%20Benchmark%20for%20Language-Conditioned%20Policy%20Learning%20for%20Long-Horizon%20Robot%20Manipulation</x:v>
      </x:c>
      <x:c r="T38" s="52" t="str">
        <x:v>2026-09-02</x:v>
      </x:c>
    </x:row>
    <x:row r="39" ht="42" customHeight="1">
      <x:c r="A39" s="63"/>
      <x:c r="B39" s="63" t="n">
        <x:v>13</x:v>
      </x:c>
      <x:c r="C39" s="64" t="str">
        <x:v>P051</x:v>
      </x:c>
      <x:c r="D39" s="47" t="str">
        <x:v>Genie: Generative Interactive Environments</x:v>
      </x:c>
      <x:c r="E39" s="63" t="n">
        <x:v>2024</x:v>
      </x:c>
      <x:c r="F39" s="47" t="str">
        <x:v>Interactive WM</x:v>
      </x:c>
      <x:c r="G39" s="47" t="str">
        <x:v>G2</x:v>
      </x:c>
      <x:c r="H39" s="47" t="str">
        <x:v>Latent-action-conditioned future video</x:v>
      </x:c>
      <x:c r="I39" s="47" t="str">
        <x:v>World simulation</x:v>
      </x:c>
      <x:c r="J39" s="47" t="str">
        <x:v>Landmark</x:v>
      </x:c>
      <x:c r="K39" s="47" t="str">
        <x:v>Adjacent</x:v>
      </x:c>
      <x:c r="L39" s="47" t="str">
        <x:v>Europe</x:v>
      </x:c>
      <x:c r="M39" s="47" t="str">
        <x:v>Jake Bruce et al.</x:v>
      </x:c>
      <x:c r="N39" s="47" t="str">
        <x:v>https://arxiv.org/abs/2402.15391</x:v>
      </x:c>
      <x:c r="O39" s="47" t="str">
        <x:v>Learns latent actions and generates controllable environments from video; no robot or physical-system deployment in the paper</x:v>
      </x:c>
      <x:c r="P39" s="51" t="n">
        <x:v>731</x:v>
      </x:c>
      <x:c r="Q39" s="51" t="n">
        <x:f>IF(P39="","",P39/MAX(1,2026-E39+1))</x:f>
        <x:v>243.66666666666666</x:v>
      </x:c>
      <x:c r="R39" s="47" t="str">
        <x:v>Observed scholarly-web-index count; rechecked 2026-09-02; versions may be split</x:v>
      </x:c>
      <x:c r="S39" s="47" t="str">
        <x:v>https://www.semanticscholar.org/search?q=Genie%3A%20Generative%20Interactive%20Environments</x:v>
      </x:c>
      <x:c r="T39" s="52" t="str">
        <x:v>2026-09-02</x:v>
      </x:c>
    </x:row>
    <x:row r="40" ht="42" customHeight="1">
      <x:c r="A40" s="63"/>
      <x:c r="B40" s="63" t="n">
        <x:v>14</x:v>
      </x:c>
      <x:c r="C40" s="64" t="str">
        <x:v>P033</x:v>
      </x:c>
      <x:c r="D40" s="47" t="str">
        <x:v>CoTracker: It is Better to Track Together</x:v>
      </x:c>
      <x:c r="E40" s="63" t="n">
        <x:v>2023</x:v>
      </x:c>
      <x:c r="F40" s="47" t="str">
        <x:v>Video</x:v>
      </x:c>
      <x:c r="G40" s="47" t="str">
        <x:v>U2</x:v>
      </x:c>
      <x:c r="H40" s="47" t="str">
        <x:v>Point trajectories</x:v>
      </x:c>
      <x:c r="I40" s="47" t="str">
        <x:v>Perception backbone</x:v>
      </x:c>
      <x:c r="J40" s="47" t="str">
        <x:v>Landmark</x:v>
      </x:c>
      <x:c r="K40" s="47" t="str">
        <x:v>Adjacent</x:v>
      </x:c>
      <x:c r="L40" s="47" t="str">
        <x:v>Europe</x:v>
      </x:c>
      <x:c r="M40" s="47" t="str">
        <x:v>Nikita Karaev; Ignacio Rocco; Benjamin Graham; Natalia Neverova; Andrea Vedaldi; Christian Rupprecht</x:v>
      </x:c>
      <x:c r="N40" s="47" t="str">
        <x:v>https://arxiv.org/abs/2307.07635</x:v>
      </x:c>
      <x:c r="O40" s="47" t="str">
        <x:v>Strong motion representation feeding world-model research</x:v>
      </x:c>
      <x:c r="P40" s="51" t="n">
        <x:v>720</x:v>
      </x:c>
      <x:c r="Q40" s="51" t="n">
        <x:f>IF(P40="","",P40/MAX(1,2026-E40+1))</x:f>
        <x:v>180</x:v>
      </x:c>
      <x:c r="R40" s="47" t="str">
        <x:v>Observed scholarly-web-index count; rechecked 2026-09-02; versions may be split</x:v>
      </x:c>
      <x:c r="S40" s="47" t="str">
        <x:v>https://www.semanticscholar.org/search?q=CoTracker%3A%20It%20is%20Better%20to%20Track%20Together</x:v>
      </x:c>
      <x:c r="T40" s="52" t="str">
        <x:v>2026-09-02</x:v>
      </x:c>
    </x:row>
    <x:row r="41" ht="42" customHeight="1">
      <x:c r="A41" s="63"/>
      <x:c r="B41" s="63" t="n">
        <x:v>23</x:v>
      </x:c>
      <x:c r="C41" s="64" t="str">
        <x:v>P052</x:v>
      </x:c>
      <x:c r="D41" s="47" t="str">
        <x:v>Diffusion for World Modeling: Visual Details Matter in Atari (DIAMOND)</x:v>
      </x:c>
      <x:c r="E41" s="63" t="n">
        <x:v>2024</x:v>
      </x:c>
      <x:c r="F41" s="47" t="str">
        <x:v>Interactive WM</x:v>
      </x:c>
      <x:c r="G41" s="47" t="str">
        <x:v>G2</x:v>
      </x:c>
      <x:c r="H41" s="47" t="str">
        <x:v>Action-conditioned diffusion rollouts</x:v>
      </x:c>
      <x:c r="I41" s="47" t="str">
        <x:v>Planning</x:v>
      </x:c>
      <x:c r="J41" s="47" t="str">
        <x:v>Landmark</x:v>
      </x:c>
      <x:c r="K41" s="47" t="str">
        <x:v>Adjacent</x:v>
      </x:c>
      <x:c r="L41" s="47" t="str">
        <x:v>Europe</x:v>
      </x:c>
      <x:c r="M41" s="47" t="str">
        <x:v>Eloi Alonso; Adam Jelley; Vincent Micheli; Anssi Kanervisto; Amos Storkey; Tim Pearce; Francois Fleuret</x:v>
      </x:c>
      <x:c r="N41" s="47" t="str">
        <x:v>https://arxiv.org/abs/2405.12399</x:v>
      </x:c>
      <x:c r="O41" s="47" t="str">
        <x:v>Trains an RL agent inside a diffusion world model and demonstrates an interactive neural game engine</x:v>
      </x:c>
      <x:c r="P41" s="51" t="n">
        <x:v>363</x:v>
      </x:c>
      <x:c r="Q41" s="51" t="n">
        <x:f>IF(P41="","",P41/MAX(1,2026-E41+1))</x:f>
        <x:v>121</x:v>
      </x:c>
      <x:c r="R41" s="47" t="str">
        <x:v>Observed scholarly-web-index count; rechecked 2026-09-02; versions may be split</x:v>
      </x:c>
      <x:c r="S41" s="47" t="str">
        <x:v>https://openreview.net/forum?id=NadTwTODgC</x:v>
      </x:c>
      <x:c r="T41" s="52" t="str">
        <x:v>2026-09-02</x:v>
      </x:c>
    </x:row>
    <x:row r="42">
      <x:c r="A42" s="66"/>
      <x:c r="B42" s="66" t="n">
        <x:v>24</x:v>
      </x:c>
      <x:c r="C42" s="66" t="str">
        <x:v>P006</x:v>
      </x:c>
      <x:c r="D42" s="15" t="str">
        <x:v>TAP-Vid: A Benchmark for Tracking Any Point in a Video</x:v>
      </x:c>
      <x:c r="E42" s="66" t="n">
        <x:v>2022</x:v>
      </x:c>
      <x:c r="F42" s="15" t="str">
        <x:v>Video</x:v>
      </x:c>
      <x:c r="G42" s="15" t="str">
        <x:v>U2</x:v>
      </x:c>
      <x:c r="H42" s="15" t="str">
        <x:v>Point trajectories</x:v>
      </x:c>
      <x:c r="I42" s="15" t="str">
        <x:v>Perception backbone</x:v>
      </x:c>
      <x:c r="J42" s="15" t="str">
        <x:v>Major</x:v>
      </x:c>
      <x:c r="K42" s="15" t="str">
        <x:v>Adjacent</x:v>
      </x:c>
      <x:c r="L42" s="15" t="str">
        <x:v>Europe</x:v>
      </x:c>
      <x:c r="M42" s="15" t="str">
        <x:v>Carl Doersch; Ankush Gupta; Larisa Markeeva; João Carreira et al.</x:v>
      </x:c>
      <x:c r="N42" s="15" t="str">
        <x:v>https://arxiv.org/abs/2211.03726</x:v>
      </x:c>
      <x:c r="O42" s="15" t="str">
        <x:v>Motion/geometry understanding useful for embodied control</x:v>
      </x:c>
      <x:c r="P42" s="24" t="n">
        <x:v>332</x:v>
      </x:c>
      <x:c r="Q42" s="24" t="n">
        <x:f>IF(P42="","",P42/MAX(1,2026-E42+1))</x:f>
        <x:v>66.4</x:v>
      </x:c>
      <x:c r="R42" s="15" t="str">
        <x:v>Observed scholarly-web-index count; rechecked 2026-09-02; versions may be split</x:v>
      </x:c>
      <x:c r="S42" s="15" t="str">
        <x:v>https://www.semanticscholar.org/search?q=TAP-Vid%3A%20A%20Benchmark%20for%20Tracking%20Any%20Point%20in%20a%20Video</x:v>
      </x:c>
      <x:c r="T42" s="15" t="str">
        <x:v>2026-09-02</x:v>
      </x:c>
    </x:row>
    <x:row r="43">
      <x:c r="A43" s="66"/>
      <x:c r="B43" s="66" t="n">
        <x:v>25</x:v>
      </x:c>
      <x:c r="C43" s="66" t="str">
        <x:v>P053</x:v>
      </x:c>
      <x:c r="D43" s="15" t="str">
        <x:v>Diffusion Models Are Real-Time Game Engines (GameNGen)</x:v>
      </x:c>
      <x:c r="E43" s="66" t="n">
        <x:v>2024</x:v>
      </x:c>
      <x:c r="F43" s="15" t="str">
        <x:v>Interactive WM</x:v>
      </x:c>
      <x:c r="G43" s="15" t="str">
        <x:v>G2</x:v>
      </x:c>
      <x:c r="H43" s="15" t="str">
        <x:v>Past-frame-and-action-conditioned next video frame</x:v>
      </x:c>
      <x:c r="I43" s="15" t="str">
        <x:v>World simulation</x:v>
      </x:c>
      <x:c r="J43" s="15" t="str">
        <x:v>Landmark</x:v>
      </x:c>
      <x:c r="K43" s="15" t="str">
        <x:v>Adjacent</x:v>
      </x:c>
      <x:c r="L43" s="15" t="str">
        <x:v>Europe</x:v>
      </x:c>
      <x:c r="M43" s="15" t="str">
        <x:v>Dani Valevski; Yaniv Leviathan; Moab Arar; Shlomi Fruchter</x:v>
      </x:c>
      <x:c r="N43" s="15" t="str">
        <x:v>https://arxiv.org/abs/2408.14837</x:v>
      </x:c>
      <x:c r="O43" s="15" t="str">
        <x:v>Real-time neural simulation of DOOM from prior frames and actions; no robot or physical-system deployment</x:v>
      </x:c>
      <x:c r="P43" s="24" t="n">
        <x:v>301</x:v>
      </x:c>
      <x:c r="Q43" s="24" t="n">
        <x:f>IF(P43="","",P43/MAX(1,2026-E43+1))</x:f>
        <x:v>100.33333333333333</x:v>
      </x:c>
      <x:c r="R43" s="15" t="str">
        <x:v>Observed scholarly-web-index count; rechecked 2026-09-02; versions may be split</x:v>
      </x:c>
      <x:c r="S43" s="15" t="str">
        <x:v>https://openreview.net/forum?id=P8pqeEkn1H</x:v>
      </x:c>
      <x:c r="T43" s="15" t="str">
        <x:v>2026-09-02</x:v>
      </x:c>
    </x:row>
    <x:row r="44">
      <x:c r="A44" s="66"/>
      <x:c r="B44" s="66" t="n">
        <x:v>31</x:v>
      </x:c>
      <x:c r="C44" s="66" t="str">
        <x:v>P048</x:v>
      </x:c>
      <x:c r="D44" s="15" t="str">
        <x:v>Learning to Simulate Dynamic Environments with GameGAN</x:v>
      </x:c>
      <x:c r="E44" s="66" t="n">
        <x:v>2020</x:v>
      </x:c>
      <x:c r="F44" s="15" t="str">
        <x:v>Interactive WM</x:v>
      </x:c>
      <x:c r="G44" s="15" t="str">
        <x:v>G2</x:v>
      </x:c>
      <x:c r="H44" s="15" t="str">
        <x:v>Action-conditioned game frames</x:v>
      </x:c>
      <x:c r="I44" s="15" t="str">
        <x:v>World simulation</x:v>
      </x:c>
      <x:c r="J44" s="15" t="str">
        <x:v>Landmark</x:v>
      </x:c>
      <x:c r="K44" s="15" t="str">
        <x:v>Adjacent</x:v>
      </x:c>
      <x:c r="L44" s="15" t="str">
        <x:v>Mixed</x:v>
      </x:c>
      <x:c r="M44" s="15" t="str">
        <x:v>Seung Wook Kim; Yuhao Zhou; Jonah Philion; Antonio Torralba; Sanja Fidler</x:v>
      </x:c>
      <x:c r="N44" s="15" t="str">
        <x:v>https://arxiv.org/abs/2005.12126</x:v>
      </x:c>
      <x:c r="O44" s="15" t="str">
        <x:v>Neural game engine that learns screen dynamics from action trajectories; architecture lineage rather than robot evidence</x:v>
      </x:c>
      <x:c r="P44" s="24" t="n">
        <x:v>188</x:v>
      </x:c>
      <x:c r="Q44" s="24" t="n">
        <x:f>IF(P44="","",P44/MAX(1,2026-E44+1))</x:f>
        <x:v>26.857142857142858</x:v>
      </x:c>
      <x:c r="R44" s="15" t="str">
        <x:v>Observed scholarly-web-index count; rechecked 2026-09-02; versions may be split</x:v>
      </x:c>
      <x:c r="S44" s="15" t="str">
        <x:v>https://www.semanticscholar.org/search?q=Learning%20to%20Simulate%20Dynamic%20Environments%20with%20GameGAN</x:v>
      </x:c>
      <x:c r="T44" s="15" t="str">
        <x:v>2026-09-02</x:v>
      </x:c>
    </x:row>
    <x:row r="45">
      <x:c r="A45" s="66"/>
      <x:c r="B45" s="66" t="n">
        <x:v>36</x:v>
      </x:c>
      <x:c r="C45" s="66" t="str">
        <x:v>P010</x:v>
      </x:c>
      <x:c r="D45" s="15" t="str">
        <x:v>FitVid: Overfitting in Pixel-Level Video Prediction</x:v>
      </x:c>
      <x:c r="E45" s="66" t="n">
        <x:v>2021</x:v>
      </x:c>
      <x:c r="F45" s="15" t="str">
        <x:v>Video</x:v>
      </x:c>
      <x:c r="G45" s="15" t="str">
        <x:v>G2</x:v>
      </x:c>
      <x:c r="H45" s="15" t="str">
        <x:v>Future pixels</x:v>
      </x:c>
      <x:c r="I45" s="15" t="str">
        <x:v>World simulation</x:v>
      </x:c>
      <x:c r="J45" s="15" t="str">
        <x:v>Major</x:v>
      </x:c>
      <x:c r="K45" s="15" t="str">
        <x:v>Adjacent</x:v>
      </x:c>
      <x:c r="L45" s="15" t="str">
        <x:v>US</x:v>
      </x:c>
      <x:c r="M45" s="15" t="str">
        <x:v>Mohammad Babaeizadeh et al.</x:v>
      </x:c>
      <x:c r="N45" s="15" t="str">
        <x:v>https://arxiv.org/abs/2106.13195</x:v>
      </x:c>
      <x:c r="O45" s="15" t="str">
        <x:v>Important pixel-level video prediction baseline</x:v>
      </x:c>
      <x:c r="P45" s="24" t="n">
        <x:v>135</x:v>
      </x:c>
      <x:c r="Q45" s="24" t="n">
        <x:f>IF(P45="","",P45/MAX(1,2026-E45+1))</x:f>
        <x:v>22.5</x:v>
      </x:c>
      <x:c r="R45" s="15" t="str">
        <x:v>Observed scholarly-web-index count; rechecked 2026-09-02; versions may be split</x:v>
      </x:c>
      <x:c r="S45" s="15" t="str">
        <x:v>https://www.semanticscholar.org/search?q=FitVid%3A%20Overfitting%20in%20Pixel-Level%20Video%20Prediction</x:v>
      </x:c>
      <x:c r="T45" s="15" t="str">
        <x:v>2026-09-02</x:v>
      </x:c>
    </x:row>
    <x:row r="46">
      <x:c r="A46" s="66"/>
      <x:c r="B46" s="66" t="n">
        <x:v>37</x:v>
      </x:c>
      <x:c r="C46" s="66" t="str">
        <x:v>P055</x:v>
      </x:c>
      <x:c r="D46" s="15" t="str">
        <x:v>GameGen-X: Interactive Open-world Game Video Generation</x:v>
      </x:c>
      <x:c r="E46" s="66" t="n">
        <x:v>2024</x:v>
      </x:c>
      <x:c r="F46" s="15" t="str">
        <x:v>Interactive WM</x:v>
      </x:c>
      <x:c r="G46" s="15" t="str">
        <x:v>G2</x:v>
      </x:c>
      <x:c r="H46" s="15" t="str">
        <x:v>Action-conditioned open-world game video</x:v>
      </x:c>
      <x:c r="I46" s="15" t="str">
        <x:v>World simulation</x:v>
      </x:c>
      <x:c r="J46" s="15" t="str">
        <x:v>Major</x:v>
      </x:c>
      <x:c r="K46" s="15" t="str">
        <x:v>Adjacent</x:v>
      </x:c>
      <x:c r="L46" s="15" t="str">
        <x:v>Asia</x:v>
      </x:c>
      <x:c r="M46" s="15" t="str">
        <x:v>Haoxuan Che et al.</x:v>
      </x:c>
      <x:c r="N46" s="15" t="str">
        <x:v>https://arxiv.org/abs/2411.00769</x:v>
      </x:c>
      <x:c r="O46" s="15" t="str">
        <x:v>Extends action-conditioned generation to open-world game video; included as later lineage, not robot evidence</x:v>
      </x:c>
      <x:c r="P46" s="24" t="n">
        <x:v>131</x:v>
      </x:c>
      <x:c r="Q46" s="24" t="n">
        <x:f>IF(P46="","",P46/MAX(1,2026-E46+1))</x:f>
        <x:v>43.666666666666664</x:v>
      </x:c>
      <x:c r="R46" s="15" t="str">
        <x:v>Observed scholarly-web-index count; rechecked 2026-09-02; versions may be split</x:v>
      </x:c>
      <x:c r="S46" s="15" t="str">
        <x:v>https://openreview.net/forum?id=8VG8tpPZhe</x:v>
      </x:c>
      <x:c r="T46" s="15" t="str">
        <x:v>2026-09-02</x:v>
      </x:c>
    </x:row>
    <x:row r="47">
      <x:c r="A47" s="66"/>
      <x:c r="B47" s="66" t="n">
        <x:v>38</x:v>
      </x:c>
      <x:c r="C47" s="66" t="str">
        <x:v>P049</x:v>
      </x:c>
      <x:c r="D47" s="15" t="str">
        <x:v>Playable Video Generation</x:v>
      </x:c>
      <x:c r="E47" s="66" t="n">
        <x:v>2021</x:v>
      </x:c>
      <x:c r="F47" s="15" t="str">
        <x:v>Interactive WM</x:v>
      </x:c>
      <x:c r="G47" s="15" t="str">
        <x:v>G2</x:v>
      </x:c>
      <x:c r="H47" s="15" t="str">
        <x:v>User-action-conditioned video</x:v>
      </x:c>
      <x:c r="I47" s="15" t="str">
        <x:v>World simulation</x:v>
      </x:c>
      <x:c r="J47" s="15" t="str">
        <x:v>Major</x:v>
      </x:c>
      <x:c r="K47" s="15" t="str">
        <x:v>Adjacent</x:v>
      </x:c>
      <x:c r="L47" s="15" t="str">
        <x:v>Europe</x:v>
      </x:c>
      <x:c r="M47" s="15" t="str">
        <x:v>Willi Menapace; Stephane Lathuiliere; Sergey Tulyakov; Aliaksandr Siarohin; Elisa Ricci</x:v>
      </x:c>
      <x:c r="N47" s="15" t="str">
        <x:v>https://arxiv.org/abs/2101.12195</x:v>
      </x:c>
      <x:c r="O47" s="15" t="str">
        <x:v>Learns a controllable action space from unlabeled video; useful precursor to latent-action world models</x:v>
      </x:c>
      <x:c r="P47" s="24" t="n">
        <x:v>89</x:v>
      </x:c>
      <x:c r="Q47" s="24" t="n">
        <x:f>IF(P47="","",P47/MAX(1,2026-E47+1))</x:f>
        <x:v>14.833333333333334</x:v>
      </x:c>
      <x:c r="R47" s="15" t="str">
        <x:v>Observed scholarly-web-index count; rechecked 2026-09-02; versions may be split</x:v>
      </x:c>
      <x:c r="S47" s="15" t="str">
        <x:v>https://www.semanticscholar.org/search?q=Playable%20Video%20Generation</x:v>
      </x:c>
      <x:c r="T47" s="15" t="str">
        <x:v>2026-09-02</x:v>
      </x:c>
    </x:row>
    <x:row r="48">
      <x:c r="A48" s="66"/>
      <x:c r="B48" s="66" t="n">
        <x:v>40</x:v>
      </x:c>
      <x:c r="C48" s="66" t="str">
        <x:v>P054</x:v>
      </x:c>
      <x:c r="D48" s="15" t="str">
        <x:v>Pandora: Towards General World Model with Natural Language Actions and Video States</x:v>
      </x:c>
      <x:c r="E48" s="66" t="n">
        <x:v>2024</x:v>
      </x:c>
      <x:c r="F48" s="15" t="str">
        <x:v>Interactive WM</x:v>
      </x:c>
      <x:c r="G48" s="15" t="str">
        <x:v>G2</x:v>
      </x:c>
      <x:c r="H48" s="15" t="str">
        <x:v>Language-action-conditioned video states</x:v>
      </x:c>
      <x:c r="I48" s="15" t="str">
        <x:v>World simulation</x:v>
      </x:c>
      <x:c r="J48" s="15" t="str">
        <x:v>Major</x:v>
      </x:c>
      <x:c r="K48" s="15" t="str">
        <x:v>Adjacent</x:v>
      </x:c>
      <x:c r="L48" s="15" t="str">
        <x:v>Mixed</x:v>
      </x:c>
      <x:c r="M48" s="15" t="str">
        <x:v>Jiannan Xiang et al.</x:v>
      </x:c>
      <x:c r="N48" s="15" t="str">
        <x:v>https://arxiv.org/abs/2406.09455</x:v>
      </x:c>
      <x:c r="O48" s="15" t="str">
        <x:v>Broadens interactive video simulation to natural-language actions; architecture adjacency without robot validation</x:v>
      </x:c>
      <x:c r="P48" s="24" t="n">
        <x:v>82</x:v>
      </x:c>
      <x:c r="Q48" s="24" t="n">
        <x:f>IF(P48="","",P48/MAX(1,2026-E48+1))</x:f>
        <x:v>27.333333333333332</x:v>
      </x:c>
      <x:c r="R48" s="15" t="str">
        <x:v>Observed scholarly-web-index count; rechecked 2026-09-02; versions may be split</x:v>
      </x:c>
      <x:c r="S48" s="15" t="str">
        <x:v>https://www.semanticscholar.org/search?q=Pandora%3A%20Towards%20General%20World%20Model%20with%20Natural%20Language%20Actions%20and%20Video%20States</x:v>
      </x:c>
      <x:c r="T48" s="15" t="str">
        <x:v>2026-09-02</x:v>
      </x:c>
    </x:row>
    <x:row r="49">
      <x:c r="A49" s="66"/>
      <x:c r="B49" s="66" t="n">
        <x:v>51</x:v>
      </x:c>
      <x:c r="C49" s="66" t="str">
        <x:v>P050</x:v>
      </x:c>
      <x:c r="D49" s="15" t="str">
        <x:v>Promptable Game Models: Text-Guided Game Simulation via Masked Diffusion Models</x:v>
      </x:c>
      <x:c r="E49" s="66" t="n">
        <x:v>2023</x:v>
      </x:c>
      <x:c r="F49" s="15" t="str">
        <x:v>Interactive WM</x:v>
      </x:c>
      <x:c r="G49" s="15" t="str">
        <x:v>G2</x:v>
      </x:c>
      <x:c r="H49" s="15" t="str">
        <x:v>Prompt/action-conditioned game video</x:v>
      </x:c>
      <x:c r="I49" s="15" t="str">
        <x:v>World simulation</x:v>
      </x:c>
      <x:c r="J49" s="15" t="str">
        <x:v>Major</x:v>
      </x:c>
      <x:c r="K49" s="15" t="str">
        <x:v>Adjacent</x:v>
      </x:c>
      <x:c r="L49" s="15" t="str">
        <x:v>Europe</x:v>
      </x:c>
      <x:c r="M49" s="15" t="str">
        <x:v>Willi Menapace; Aliaksandr Siarohin; Stephane Lathuiliere; Panos Achlioptas; Vladislav Golyanik; Sergey Tulyakov; Elisa Ricci</x:v>
      </x:c>
      <x:c r="N49" s="15" t="str">
        <x:v>https://arxiv.org/abs/2303.13472</x:v>
      </x:c>
      <x:c r="O49" s="15" t="str">
        <x:v>Extends playable video toward language and high-level action control; no direct robotics result</x:v>
      </x:c>
      <x:c r="P49" s="24" t="n">
        <x:v>29</x:v>
      </x:c>
      <x:c r="Q49" s="24" t="n">
        <x:f>IF(P49="","",P49/MAX(1,2026-E49+1))</x:f>
        <x:v>7.25</x:v>
      </x:c>
      <x:c r="R49" s="15" t="str">
        <x:v>Observed scholarly-web-index count; rechecked 2026-09-02; versions may be split</x:v>
      </x:c>
      <x:c r="S49" s="15" t="str">
        <x:v>https://dl.acm.org/doi/10.1145/3635705</x:v>
      </x:c>
      <x:c r="T49" s="15" t="str">
        <x:v>2026-09-02</x:v>
      </x:c>
    </x:row>
    <x:row r="50">
      <x:c r="A50" s="66"/>
      <x:c r="B50" s="66" t="n">
        <x:v>1</x:v>
      </x:c>
      <x:c r="C50" s="66" t="str">
        <x:v>P005</x:v>
      </x:c>
      <x:c r="D50" s="15" t="str">
        <x:v>SlowFast Networks for Video Recognition</x:v>
      </x:c>
      <x:c r="E50" s="66" t="n">
        <x:v>2019</x:v>
      </x:c>
      <x:c r="F50" s="15" t="str">
        <x:v>Video</x:v>
      </x:c>
      <x:c r="G50" s="15" t="str">
        <x:v>U1</x:v>
      </x:c>
      <x:c r="H50" s="15" t="str">
        <x:v>Semantic features</x:v>
      </x:c>
      <x:c r="I50" s="15" t="str">
        <x:v>None</x:v>
      </x:c>
      <x:c r="J50" s="15" t="str">
        <x:v>Landmark</x:v>
      </x:c>
      <x:c r="K50" s="15" t="str">
        <x:v>No</x:v>
      </x:c>
      <x:c r="L50" s="15" t="str">
        <x:v>US</x:v>
      </x:c>
      <x:c r="M50" s="15" t="str">
        <x:v>Christoph Feichtenhofer; Haoqi Fan; Jitendra Malik; Kaiming He</x:v>
      </x:c>
      <x:c r="N50" s="15" t="str">
        <x:v>https://arxiv.org/abs/1812.03982</x:v>
      </x:c>
      <x:c r="O50" s="15" t="str">
        <x:v>Canonical semantic video-understanding architecture</x:v>
      </x:c>
      <x:c r="P50" s="24" t="n">
        <x:v>4328</x:v>
      </x:c>
      <x:c r="Q50" s="24" t="n">
        <x:f>IF(P50="","",P50/MAX(1,2026-E50+1))</x:f>
        <x:v>541</x:v>
      </x:c>
      <x:c r="R50" s="15" t="str">
        <x:v>Observed scholarly-web-index count; rechecked 2026-09-02; versions may be split</x:v>
      </x:c>
      <x:c r="S50" s="15" t="str">
        <x:v>https://www.semanticscholar.org/search?q=SlowFast%20Networks%20for%20Video%20Recognition</x:v>
      </x:c>
      <x:c r="T50" s="15" t="str">
        <x:v>2026-09-02</x:v>
      </x:c>
    </x:row>
    <x:row r="51">
      <x:c r="A51" s="66"/>
      <x:c r="B51" s="66" t="n">
        <x:v>5</x:v>
      </x:c>
      <x:c r="C51" s="66" t="str">
        <x:v>P030</x:v>
      </x:c>
      <x:c r="D51" s="15" t="str">
        <x:v>π0: A Vision-Language-Action Flow Model for General Robot Control</x:v>
      </x:c>
      <x:c r="E51" s="66" t="n">
        <x:v>2024</x:v>
      </x:c>
      <x:c r="F51" s="15" t="str">
        <x:v>Robotics</x:v>
      </x:c>
      <x:c r="G51" s="15" t="str">
        <x:v>A</x:v>
      </x:c>
      <x:c r="H51" s="15" t="str">
        <x:v>Continuous actions</x:v>
      </x:c>
      <x:c r="I51" s="15" t="str">
        <x:v>Direct policy</x:v>
      </x:c>
      <x:c r="J51" s="15" t="str">
        <x:v>Landmark</x:v>
      </x:c>
      <x:c r="K51" s="15" t="str">
        <x:v>No</x:v>
      </x:c>
      <x:c r="L51" s="15" t="str">
        <x:v>US</x:v>
      </x:c>
      <x:c r="M51" s="15" t="str">
        <x:v>Kevin Black et al.</x:v>
      </x:c>
      <x:c r="N51" s="15" t="str">
        <x:v>https://www.physicalintelligence.company/blog/pi0</x:v>
      </x:c>
      <x:c r="O51" s="15" t="str">
        <x:v>Robotics-first control case for denominator/comparison</x:v>
      </x:c>
      <x:c r="P51" s="24" t="n">
        <x:v>1508</x:v>
      </x:c>
      <x:c r="Q51" s="24" t="n">
        <x:f>IF(P51="","",P51/MAX(1,2026-E51+1))</x:f>
        <x:v>502.6666666666667</x:v>
      </x:c>
      <x:c r="R51" s="15" t="str">
        <x:v>Observed scholarly-web-index count; rechecked 2026-09-02; versions may be split</x:v>
      </x:c>
      <x:c r="S51" s="15" t="str">
        <x:v>https://www.semanticscholar.org/search?q=%CF%800%3A%20A%20Vision-Language-Action%20Flow%20Model%20for%20General%20Robot%20Control</x:v>
      </x:c>
      <x:c r="T51" s="15" t="str">
        <x:v>2026-09-02</x:v>
      </x:c>
    </x:row>
    <x:row r="52">
      <x:c r="A52" s="66"/>
      <x:c r="B52" s="66" t="n">
        <x:v>17</x:v>
      </x:c>
      <x:c r="C52" s="66" t="str">
        <x:v>P007</x:v>
      </x:c>
      <x:c r="D52" s="15" t="str">
        <x:v>VideoPoet: A Large Language Model for Zero-Shot Video Generation</x:v>
      </x:c>
      <x:c r="E52" s="66" t="n">
        <x:v>2023</x:v>
      </x:c>
      <x:c r="F52" s="15" t="str">
        <x:v>Video</x:v>
      </x:c>
      <x:c r="G52" s="15" t="str">
        <x:v>G1</x:v>
      </x:c>
      <x:c r="H52" s="15" t="str">
        <x:v>Video/audio tokens</x:v>
      </x:c>
      <x:c r="I52" s="15" t="str">
        <x:v>None</x:v>
      </x:c>
      <x:c r="J52" s="15" t="str">
        <x:v>Major</x:v>
      </x:c>
      <x:c r="K52" s="15" t="str">
        <x:v>No</x:v>
      </x:c>
      <x:c r="L52" s="15" t="str">
        <x:v>Europe</x:v>
      </x:c>
      <x:c r="M52" s="15" t="str">
        <x:v>Dan Kondratyuk; Lijun Yu; Xiuye Gu; José Lezama; Jonathan Huang; João Carreira et al.</x:v>
      </x:c>
      <x:c r="N52" s="15" t="str">
        <x:v>https://arxiv.org/abs/2312.14125</x:v>
      </x:c>
      <x:c r="O52" s="15" t="str">
        <x:v>Autoregressive multimodal generation</x:v>
      </x:c>
      <x:c r="P52" s="24" t="n">
        <x:v>586</x:v>
      </x:c>
      <x:c r="Q52" s="24" t="n">
        <x:f>IF(P52="","",P52/MAX(1,2026-E52+1))</x:f>
        <x:v>146.5</x:v>
      </x:c>
      <x:c r="R52" s="15" t="str">
        <x:v>Observed scholarly-web-index count; rechecked 2026-09-02; versions may be split</x:v>
      </x:c>
      <x:c r="S52" s="15" t="str">
        <x:v>https://www.semanticscholar.org/search?q=VideoPoet%3A%20A%20Large%20Language%20Model%20for%20Zero-Shot%20Video%20Generation</x:v>
      </x:c>
      <x:c r="T52" s="15" t="str">
        <x:v>2026-09-02</x:v>
      </x:c>
    </x:row>
    <x:row r="53">
      <x:c r="A53" s="66"/>
      <x:c r="B53" s="66" t="n">
        <x:v>18</x:v>
      </x:c>
      <x:c r="C53" s="66" t="str">
        <x:v>P003</x:v>
      </x:c>
      <x:c r="D53" s="15" t="str">
        <x:v>Revisiting Feature Prediction for Learning Visual Representations from Video (V-JEPA)</x:v>
      </x:c>
      <x:c r="E53" s="66" t="n">
        <x:v>2024</x:v>
      </x:c>
      <x:c r="F53" s="15" t="str">
        <x:v>Video</x:v>
      </x:c>
      <x:c r="G53" s="15" t="str">
        <x:v>U3</x:v>
      </x:c>
      <x:c r="H53" s="15" t="str">
        <x:v>Latent representation</x:v>
      </x:c>
      <x:c r="I53" s="15" t="str">
        <x:v>None</x:v>
      </x:c>
      <x:c r="J53" s="15" t="str">
        <x:v>Landmark</x:v>
      </x:c>
      <x:c r="K53" s="15" t="str">
        <x:v>No</x:v>
      </x:c>
      <x:c r="L53" s="15" t="str">
        <x:v>Mixed</x:v>
      </x:c>
      <x:c r="M53" s="15" t="str">
        <x:v>Adrien Bardes; Quentin Garrido; Jean Ponce; Michael Rabbat; Yann LeCun et al.</x:v>
      </x:c>
      <x:c r="N53" s="15" t="str">
        <x:v>https://arxiv.org/abs/2404.08471</x:v>
      </x:c>
      <x:c r="O53" s="15" t="str">
        <x:v>Masked latent prediction architecture</x:v>
      </x:c>
      <x:c r="P53" s="24" t="n">
        <x:v>563</x:v>
      </x:c>
      <x:c r="Q53" s="24" t="n">
        <x:f>IF(P53="","",P53/MAX(1,2026-E53+1))</x:f>
        <x:v>187.66666666666666</x:v>
      </x:c>
      <x:c r="R53" s="15" t="str">
        <x:v>Observed scholarly-web-index count; rechecked 2026-09-02; versions may be split</x:v>
      </x:c>
      <x:c r="S53" s="15" t="str">
        <x:v>https://www.semanticscholar.org/search?q=Revisiting%20Feature%20Prediction%20for%20Learning%20Visual%20Representations%20from%20Video%20(V-JEPA)</x:v>
      </x:c>
      <x:c r="T53" s="15" t="str">
        <x:v>2026-09-02</x:v>
      </x:c>
    </x:row>
    <x:row r="54">
      <x:c r="A54" s="66"/>
      <x:c r="B54" s="66" t="n">
        <x:v>22</x:v>
      </x:c>
      <x:c r="C54" s="66" t="str">
        <x:v>P001</x:v>
      </x:c>
      <x:c r="D54" s="15" t="str">
        <x:v>Photorealistic Video Generation with Diffusion Models (WALT)</x:v>
      </x:c>
      <x:c r="E54" s="66" t="n">
        <x:v>2023</x:v>
      </x:c>
      <x:c r="F54" s="15" t="str">
        <x:v>Video</x:v>
      </x:c>
      <x:c r="G54" s="15" t="str">
        <x:v>G1</x:v>
      </x:c>
      <x:c r="H54" s="15" t="str">
        <x:v>Pixels / latent video tokens</x:v>
      </x:c>
      <x:c r="I54" s="15" t="str">
        <x:v>None</x:v>
      </x:c>
      <x:c r="J54" s="15" t="str">
        <x:v>Landmark</x:v>
      </x:c>
      <x:c r="K54" s="15" t="str">
        <x:v>No</x:v>
      </x:c>
      <x:c r="L54" s="15" t="str">
        <x:v>US</x:v>
      </x:c>
      <x:c r="M54" s="15" t="str">
        <x:v>Agrim Gupta; Lijun Yu; José Lezama et al.</x:v>
      </x:c>
      <x:c r="N54" s="15" t="str">
        <x:v>https://arxiv.org/abs/2312.06662</x:v>
      </x:c>
      <x:c r="O54" s="15" t="str">
        <x:v>Strong video-generation credential for later robotics bridges</x:v>
      </x:c>
      <x:c r="P54" s="24" t="n">
        <x:v>391</x:v>
      </x:c>
      <x:c r="Q54" s="24" t="n">
        <x:f>IF(P54="","",P54/MAX(1,2026-E54+1))</x:f>
        <x:v>97.75</x:v>
      </x:c>
      <x:c r="R54" s="15" t="str">
        <x:v>Observed scholarly-web-index count; rechecked 2026-09-02; versions may be split</x:v>
      </x:c>
      <x:c r="S54" s="15" t="str">
        <x:v>https://www.semanticscholar.org/search?q=Photorealistic%20Video%20Generation%20with%20Diffusion%20Models%20(WALT)</x:v>
      </x:c>
      <x:c r="T54" s="15" t="str">
        <x:v>2026-09-02</x:v>
      </x:c>
    </x:row>
    <x:row r="55">
      <x:c r="A55" s="66"/>
      <x:c r="B55" s="66" t="n">
        <x:v>35</x:v>
      </x:c>
      <x:c r="C55" s="66" t="str">
        <x:v>P002</x:v>
      </x:c>
      <x:c r="D55" s="15" t="str">
        <x:v>Siamese Masked Autoencoders</x:v>
      </x:c>
      <x:c r="E55" s="66" t="n">
        <x:v>2023</x:v>
      </x:c>
      <x:c r="F55" s="15" t="str">
        <x:v>Video</x:v>
      </x:c>
      <x:c r="G55" s="15" t="str">
        <x:v>U3</x:v>
      </x:c>
      <x:c r="H55" s="15" t="str">
        <x:v>Latent representation</x:v>
      </x:c>
      <x:c r="I55" s="15" t="str">
        <x:v>None</x:v>
      </x:c>
      <x:c r="J55" s="15" t="str">
        <x:v>Major</x:v>
      </x:c>
      <x:c r="K55" s="15" t="str">
        <x:v>No</x:v>
      </x:c>
      <x:c r="L55" s="15" t="str">
        <x:v>US</x:v>
      </x:c>
      <x:c r="M55" s="15" t="str">
        <x:v>Agrim Gupta; Jiajun Wu; Jia Deng; Fei-Fei Li</x:v>
      </x:c>
      <x:c r="N55" s="15" t="str">
        <x:v>https://arxiv.org/abs/2305.14344</x:v>
      </x:c>
      <x:c r="O55" s="15" t="str">
        <x:v>Separates representation prediction from pixel generation</x:v>
      </x:c>
      <x:c r="P55" s="24" t="n">
        <x:v>157</x:v>
      </x:c>
      <x:c r="Q55" s="24" t="n">
        <x:f>IF(P55="","",P55/MAX(1,2026-E55+1))</x:f>
        <x:v>39.25</x:v>
      </x:c>
      <x:c r="R55" s="15" t="str">
        <x:v>Observed scholarly-web-index count; rechecked 2026-09-02; versions may be split</x:v>
      </x:c>
      <x:c r="S55" s="15" t="str">
        <x:v>https://www.semanticscholar.org/search?q=Siamese%20Masked%20Autoencoders</x:v>
      </x:c>
      <x:c r="T55" s="15" t="str">
        <x:v>2026-09-02</x:v>
      </x:c>
    </x:row>
    <x:row r="56">
      <x:c r="A56" s="66"/>
      <x:c r="B56" s="66" t="n">
        <x:v>52</x:v>
      </x:c>
      <x:c r="C56" s="66" t="str">
        <x:v>P040</x:v>
      </x:c>
      <x:c r="D56" s="15" t="str">
        <x:v>Video Generation Models in Robotics: Applications, Challenges, and Future Directions</x:v>
      </x:c>
      <x:c r="E56" s="66" t="n">
        <x:v>2026</x:v>
      </x:c>
      <x:c r="F56" s="15" t="str">
        <x:v>Survey</x:v>
      </x:c>
      <x:c r="G56" s="15" t="str">
        <x:v>G1/G2/G3</x:v>
      </x:c>
      <x:c r="H56" s="15" t="str">
        <x:v>Taxonomy</x:v>
      </x:c>
      <x:c r="I56" s="15" t="str">
        <x:v>None</x:v>
      </x:c>
      <x:c r="J56" s="15" t="str">
        <x:v>Reference</x:v>
      </x:c>
      <x:c r="K56" s="15" t="str">
        <x:v>No</x:v>
      </x:c>
      <x:c r="L56" s="15" t="str">
        <x:v>Global</x:v>
      </x:c>
      <x:c r="M56" s="15" t="str">
        <x:v>Survey authors</x:v>
      </x:c>
      <x:c r="N56" s="15" t="str">
        <x:v>https://arxiv.org/abs/2601.07823</x:v>
      </x:c>
      <x:c r="O56" s="15" t="str">
        <x:v>External survey for scope checking and future expansion</x:v>
      </x:c>
      <x:c r="P56" s="24" t="n">
        <x:v>18</x:v>
      </x:c>
      <x:c r="Q56" s="24" t="n">
        <x:f>IF(P56="","",P56/MAX(1,2026-E56+1))</x:f>
        <x:v>18</x:v>
      </x:c>
      <x:c r="R56" s="15" t="str">
        <x:v>Observed scholarly-web-index count; rechecked 2026-09-02; versions may be split</x:v>
      </x:c>
      <x:c r="S56" s="15" t="str">
        <x:v>https://www.semanticscholar.org/search?q=Video%20Generation%20Models%20in%20Robotics%3A%20Applications%2C%20Challenges%2C%20and%20Future%20Directions</x:v>
      </x:c>
      <x:c r="T56" s="15" t="str">
        <x:v>2026-09-02</x:v>
      </x:c>
    </x:row>
  </x:sheetData>
  <x:pageMargins left="0.7" right="0.7" top="0.75" bottom="0.75" header="0.3" footer="0.3"/>
  <x:tableParts count="1">
    <x:tablePart xmlns:r="http://schemas.openxmlformats.org/officeDocument/2006/relationships" r:id="R4ff05ce629ed4a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58" t="str">
        <x:v>Pilot Dashboard — Video → Robotics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4">
      <x:c r="A4" s="43" t="str">
        <x:v>KPI</x:v>
      </x:c>
      <x:c r="B4" s="44" t="str">
        <x:v>Value</x:v>
      </x:c>
      <x:c r="C4" s="42"/>
      <x:c r="D4" s="43" t="str">
        <x:v>Origin architecture</x:v>
      </x:c>
      <x:c r="E4" s="44" t="str">
        <x:v>Researchers</x:v>
      </x:c>
      <x:c r="F4" s="42"/>
      <x:c r="G4" s="43" t="str">
        <x:v>Transition type</x:v>
      </x:c>
      <x:c r="H4" s="44" t="str">
        <x:v>Researchers</x:v>
      </x:c>
      <x:c r="I4" s="42"/>
      <x:c r="J4" s="43" t="str">
        <x:v>Paper architecture</x:v>
      </x:c>
      <x:c r="K4" s="44" t="str">
        <x:v>Bridge papers</x:v>
      </x:c>
      <x:c r="L4" s="42"/>
    </x:row>
    <x:row r="5">
      <x:c r="A5" s="46" t="str">
        <x:v>Researchers</x:v>
      </x:c>
      <x:c r="B5" s="54" t="n">
        <x:f>COUNTA('Researchers'!$B$2:$B$58)</x:f>
        <x:v>57</x:v>
      </x:c>
      <x:c r="C5" s="42"/>
      <x:c r="D5" s="42" t="str">
        <x:v>G1</x:v>
      </x:c>
      <x:c r="E5" s="42" t="n">
        <x:f>COUNTIF('Researchers'!$F$2:$F$58,D5)</x:f>
        <x:v>14</x:v>
      </x:c>
      <x:c r="F5" s="42"/>
      <x:c r="G5" s="42" t="str">
        <x:v>Switcher</x:v>
      </x:c>
      <x:c r="H5" s="42" t="n">
        <x:f>COUNTIF('Researchers'!$H$2:$H$58,G5)</x:f>
        <x:v>2</x:v>
      </x:c>
      <x:c r="I5" s="42"/>
      <x:c r="J5" s="42" t="str">
        <x:v>G1</x:v>
      </x:c>
      <x:c r="K5" s="42" t="n">
        <x:f>COUNTIFS('Papers'!$G$2:$G$56,J5,'Papers'!$K$2:$K$56,"Yes")</x:f>
        <x:v>4</x:v>
      </x:c>
      <x:c r="L5" s="42"/>
    </x:row>
    <x:row r="6">
      <x:c r="A6" s="46" t="str">
        <x:v>Papers</x:v>
      </x:c>
      <x:c r="B6" s="55" t="n">
        <x:f>COUNTA('Papers'!$C$2:$C$56)</x:f>
        <x:v>55</x:v>
      </x:c>
      <x:c r="C6" s="42"/>
      <x:c r="D6" s="42" t="str">
        <x:v>G2</x:v>
      </x:c>
      <x:c r="E6" s="42" t="n">
        <x:f>COUNTIF('Researchers'!$F$2:$F$58,D6)</x:f>
        <x:v>10</x:v>
      </x:c>
      <x:c r="F6" s="42"/>
      <x:c r="G6" s="42" t="str">
        <x:v>Bridger</x:v>
      </x:c>
      <x:c r="H6" s="42" t="n">
        <x:f>COUNTIF('Researchers'!$H$2:$H$58,G6)</x:f>
        <x:v>42</x:v>
      </x:c>
      <x:c r="I6" s="42"/>
      <x:c r="J6" s="42" t="str">
        <x:v>G2</x:v>
      </x:c>
      <x:c r="K6" s="42" t="n">
        <x:f>COUNTIFS('Papers'!$G$2:$G$56,J6,'Papers'!$K$2:$K$56,"Yes")</x:f>
        <x:v>13</x:v>
      </x:c>
      <x:c r="L6" s="42"/>
    </x:row>
    <x:row r="7">
      <x:c r="A7" s="46" t="str">
        <x:v>Strict switchers</x:v>
      </x:c>
      <x:c r="B7" s="55" t="n">
        <x:f>COUNTIF('Researchers'!$H$2:$H$58,"Switcher")</x:f>
        <x:v>2</x:v>
      </x:c>
      <x:c r="C7" s="42"/>
      <x:c r="D7" s="42" t="str">
        <x:v>G3</x:v>
      </x:c>
      <x:c r="E7" s="42" t="n">
        <x:f>COUNTIF('Researchers'!$F$2:$F$58,D7)</x:f>
        <x:v>0</x:v>
      </x:c>
      <x:c r="F7" s="42"/>
      <x:c r="G7" s="42" t="str">
        <x:v>Native hybrid</x:v>
      </x:c>
      <x:c r="H7" s="42" t="n">
        <x:f>COUNTIF('Researchers'!$H$2:$H$58,G7)</x:f>
        <x:v>11</x:v>
      </x:c>
      <x:c r="I7" s="42"/>
      <x:c r="J7" s="42" t="str">
        <x:v>G3</x:v>
      </x:c>
      <x:c r="K7" s="42" t="n">
        <x:f>COUNTIFS('Papers'!$G$2:$G$56,J7,'Papers'!$K$2:$K$56,"Yes")</x:f>
        <x:v>2</x:v>
      </x:c>
      <x:c r="L7" s="42"/>
    </x:row>
    <x:row r="8">
      <x:c r="A8" s="46" t="str">
        <x:v>Bridgers</x:v>
      </x:c>
      <x:c r="B8" s="55" t="n">
        <x:f>COUNTIF('Researchers'!$H$2:$H$58,"Bridger")</x:f>
        <x:v>42</x:v>
      </x:c>
      <x:c r="C8" s="42"/>
      <x:c r="D8" s="42" t="str">
        <x:v>U1</x:v>
      </x:c>
      <x:c r="E8" s="42" t="n">
        <x:f>COUNTIF('Researchers'!$F$2:$F$58,D8)</x:f>
        <x:v>4</x:v>
      </x:c>
      <x:c r="F8" s="42"/>
      <x:c r="G8" s="42" t="str">
        <x:v>Robotics-first</x:v>
      </x:c>
      <x:c r="H8" s="42" t="n">
        <x:f>COUNTIF('Researchers'!$H$2:$H$58,G8)</x:f>
        <x:v>2</x:v>
      </x:c>
      <x:c r="I8" s="42"/>
      <x:c r="J8" s="42" t="str">
        <x:v>U1</x:v>
      </x:c>
      <x:c r="K8" s="42" t="n">
        <x:f>COUNTIFS('Papers'!$G$2:$G$56,J8,'Papers'!$K$2:$K$56,"Yes")</x:f>
        <x:v>0</x:v>
      </x:c>
      <x:c r="L8" s="42"/>
    </x:row>
    <x:row r="9">
      <x:c r="A9" s="46" t="str">
        <x:v>Europe-cluster researchers</x:v>
      </x:c>
      <x:c r="B9" s="55" t="n">
        <x:f>COUNTIF('Researchers'!$D$2:$D$58,"Europe")</x:f>
        <x:v>18</x:v>
      </x:c>
      <x:c r="C9" s="42"/>
      <x:c r="D9" s="42" t="str">
        <x:v>U2</x:v>
      </x:c>
      <x:c r="E9" s="42" t="n">
        <x:f>COUNTIF('Researchers'!$F$2:$F$58,D9)</x:f>
        <x:v>14</x:v>
      </x:c>
      <x:c r="F9" s="42"/>
      <x:c r="G9" s="42"/>
      <x:c r="H9" s="42"/>
      <x:c r="I9" s="42"/>
      <x:c r="J9" s="42" t="str">
        <x:v>U2</x:v>
      </x:c>
      <x:c r="K9" s="42" t="n">
        <x:f>COUNTIFS('Papers'!$G$2:$G$56,J9,'Papers'!$K$2:$K$56,"Yes")</x:f>
        <x:v>6</x:v>
      </x:c>
      <x:c r="L9" s="42"/>
    </x:row>
    <x:row r="10">
      <x:c r="A10" s="46" t="str">
        <x:v>Important in both fields</x:v>
      </x:c>
      <x:c r="B10" s="55" t="n">
        <x:f>COUNTIF('Researchers'!$N$2:$N$58,"Yes")</x:f>
        <x:v>35</x:v>
      </x:c>
      <x:c r="C10" s="42"/>
      <x:c r="D10" s="42" t="str">
        <x:v>U3</x:v>
      </x:c>
      <x:c r="E10" s="42" t="n">
        <x:f>COUNTIF('Researchers'!$F$2:$F$58,D10)</x:f>
        <x:v>8</x:v>
      </x:c>
      <x:c r="F10" s="42"/>
      <x:c r="G10" s="42"/>
      <x:c r="H10" s="42"/>
      <x:c r="I10" s="42"/>
      <x:c r="J10" s="42" t="str">
        <x:v>U3</x:v>
      </x:c>
      <x:c r="K10" s="42" t="n">
        <x:f>COUNTIFS('Papers'!$G$2:$G$56,J10,'Papers'!$K$2:$K$56,"Yes")</x:f>
        <x:v>1</x:v>
      </x:c>
      <x:c r="L10" s="42"/>
    </x:row>
    <x:row r="11">
      <x:c r="A11" s="46" t="str">
        <x:v>High-evidence researchers</x:v>
      </x:c>
      <x:c r="B11" s="56" t="n">
        <x:f>COUNTIF('Researchers'!$Q$2:$Q$58,"High")</x:f>
        <x:v>45</x:v>
      </x:c>
      <x:c r="C11" s="42"/>
      <x:c r="D11" s="42" t="str">
        <x:v>VL</x:v>
      </x:c>
      <x:c r="E11" s="42" t="n">
        <x:f>COUNTIF('Researchers'!$F$2:$F$58,D11)</x:f>
        <x:v>7</x:v>
      </x:c>
      <x:c r="F11" s="42"/>
      <x:c r="G11" s="42"/>
      <x:c r="H11" s="42"/>
      <x:c r="I11" s="42"/>
      <x:c r="J11" s="42" t="str">
        <x:v>VL</x:v>
      </x:c>
      <x:c r="K11" s="42" t="n">
        <x:f>COUNTIFS('Papers'!$G$2:$G$56,J11,'Papers'!$K$2:$K$56,"Yes")</x:f>
        <x:v>4</x:v>
      </x:c>
      <x:c r="L11" s="42"/>
    </x:row>
    <x:row r="12">
      <x:c r="A12" s="42"/>
      <x:c r="B12" s="42"/>
      <x:c r="C12" s="42"/>
      <x:c r="D12" s="42" t="str">
        <x:v>A</x:v>
      </x:c>
      <x:c r="E12" s="42" t="n">
        <x:f>COUNTIF('Researchers'!$F$2:$F$58,D12)</x:f>
        <x:v>0</x:v>
      </x:c>
      <x:c r="F12" s="42"/>
      <x:c r="G12" s="42"/>
      <x:c r="H12" s="42"/>
      <x:c r="I12" s="42"/>
      <x:c r="J12" s="42" t="str">
        <x:v>A</x:v>
      </x:c>
      <x:c r="K12" s="42" t="n">
        <x:f>COUNTIFS('Papers'!$G$2:$G$56,J12,'Papers'!$K$2:$K$56,"Yes")</x:f>
        <x:v>1</x:v>
      </x:c>
      <x:c r="L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</x:row>
    <x:row r="14">
      <x:c r="A14" s="46" t="str">
        <x:v>Interpretation notes</x:v>
      </x:c>
      <x:c r="B14" s="46"/>
      <x:c r="C14" s="46"/>
      <x:c r="D14" s="46"/>
      <x:c r="E14" s="46"/>
      <x:c r="F14" s="46"/>
      <x:c r="G14" s="46"/>
      <x:c r="H14" s="46"/>
      <x:c r="I14" s="42"/>
      <x:c r="J14" s="42"/>
      <x:c r="K14" s="42"/>
      <x:c r="L14" s="42"/>
    </x:row>
    <x:row r="15">
      <x:c r="A15" s="47" t="str">
        <x:v>• Strict switchers are rare; most of the phenomenon appears as bridging or long-running hybrid work.</x:v>
      </x:c>
      <x:c r="B15" s="47"/>
      <x:c r="C15" s="47"/>
      <x:c r="D15" s="47"/>
      <x:c r="E15" s="47"/>
      <x:c r="F15" s="47"/>
      <x:c r="G15" s="47"/>
      <x:c r="H15" s="47"/>
      <x:c r="I15" s="42"/>
      <x:c r="J15" s="42"/>
      <x:c r="K15" s="42"/>
      <x:c r="L15" s="42"/>
    </x:row>
    <x:row r="16">
      <x:c r="A16" s="47" t="str">
        <x:v>• G2/G3 are structurally closer to robotics than G1 because actions and/or future state are modeled explicitly.</x:v>
      </x:c>
      <x:c r="B16" s="47"/>
      <x:c r="C16" s="47"/>
      <x:c r="D16" s="47"/>
      <x:c r="E16" s="47"/>
      <x:c r="F16" s="47"/>
      <x:c r="G16" s="47"/>
      <x:c r="H16" s="47"/>
      <x:c r="I16" s="42"/>
      <x:c r="J16" s="42"/>
      <x:c r="K16" s="42"/>
      <x:c r="L16" s="42"/>
    </x:row>
    <x:row r="17">
      <x:c r="A17" s="47" t="str">
        <x:v>• U3 (V-JEPA lineage) is a separate latent-prediction → planning route with no pixel-generation requirement.</x:v>
      </x:c>
      <x:c r="B17" s="47"/>
      <x:c r="C17" s="47"/>
      <x:c r="D17" s="47"/>
      <x:c r="E17" s="47"/>
      <x:c r="F17" s="47"/>
      <x:c r="G17" s="47"/>
      <x:c r="H17" s="47"/>
      <x:c r="I17" s="42"/>
      <x:c r="J17" s="42"/>
      <x:c r="K17" s="42"/>
      <x:c r="L17" s="42"/>
    </x:row>
    <x:row r="18">
      <x:c r="A18" s="47" t="str">
        <x:v>• Europe covers Paris–London–Oxford–Freiburg research clusters; it is not a nationality statistic.</x:v>
      </x:c>
      <x:c r="B18" s="47"/>
      <x:c r="C18" s="47"/>
      <x:c r="D18" s="47"/>
      <x:c r="E18" s="47"/>
      <x:c r="F18" s="47"/>
      <x:c r="G18" s="47"/>
      <x:c r="H18" s="47"/>
      <x:c r="I18" s="42"/>
      <x:c r="J18" s="42"/>
      <x:c r="K18" s="42"/>
      <x:c r="L18" s="42"/>
    </x:row>
    <x:row r="19">
      <x:c r="A19" s="47" t="str">
        <x:v>• Do not generalize pilot shares to the full researcher population.</x:v>
      </x:c>
      <x:c r="B19" s="47"/>
      <x:c r="C19" s="47"/>
      <x:c r="D19" s="47"/>
      <x:c r="E19" s="47"/>
      <x:c r="F19" s="47"/>
      <x:c r="G19" s="47"/>
      <x:c r="H19" s="47"/>
      <x:c r="I19" s="42"/>
      <x:c r="J19" s="42"/>
      <x:c r="K19" s="42"/>
      <x:c r="L19" s="42"/>
    </x:row>
  </x:sheetData>
  <x:mergeCells>
    <x:mergeCell ref="A1:L2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  <x:drawing xmlns:r="http://schemas.openxmlformats.org/officeDocument/2006/relationships" r:id="Rf64bf6312bfa4e5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58" t="str">
        <x:v>Architecture × Robot Role Transition Matrix (researcher count)</x:v>
      </x:c>
      <x:c r="B1" s="58"/>
      <x:c r="C1" s="58"/>
      <x:c r="D1" s="58"/>
      <x:c r="E1" s="58"/>
      <x:c r="F1" s="58"/>
      <x:c r="G1" s="58"/>
      <x:c r="H1" s="58"/>
    </x:row>
    <x:row r="2">
      <x:c r="A2" s="58"/>
      <x:c r="B2" s="58"/>
      <x:c r="C2" s="58"/>
      <x:c r="D2" s="58"/>
      <x:c r="E2" s="58"/>
      <x:c r="F2" s="58"/>
      <x:c r="G2" s="58"/>
      <x:c r="H2" s="58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43" t="str">
        <x:v>Origin</x:v>
      </x:c>
      <x:c r="B4" s="48" t="str">
        <x:v>Perception backbone</x:v>
      </x:c>
      <x:c r="C4" s="48" t="str">
        <x:v>Reward / affordance</x:v>
      </x:c>
      <x:c r="D4" s="48" t="str">
        <x:v>Data generation</x:v>
      </x:c>
      <x:c r="E4" s="48" t="str">
        <x:v>World simulation</x:v>
      </x:c>
      <x:c r="F4" s="48" t="str">
        <x:v>Planning</x:v>
      </x:c>
      <x:c r="G4" s="44" t="str">
        <x:v>Direct policy</x:v>
      </x:c>
      <x:c r="H4" s="42"/>
    </x:row>
    <x:row r="5">
      <x:c r="A5" s="47" t="str">
        <x:v>G1</x:v>
      </x:c>
      <x:c r="B5" s="47" t="n">
        <x:f>COUNTIFS('Researchers'!$F$2:$F$58,$A5,'Researchers'!$G$2:$G$58,B$4)</x:f>
        <x:v>0</x:v>
      </x:c>
      <x:c r="C5" s="47" t="n">
        <x:f>COUNTIFS('Researchers'!$F$2:$F$58,$A5,'Researchers'!$G$2:$G$58,C$4)</x:f>
        <x:v>1</x:v>
      </x:c>
      <x:c r="D5" s="47" t="n">
        <x:f>COUNTIFS('Researchers'!$F$2:$F$58,$A5,'Researchers'!$G$2:$G$58,D$4)</x:f>
        <x:v>0</x:v>
      </x:c>
      <x:c r="E5" s="47" t="n">
        <x:f>COUNTIFS('Researchers'!$F$2:$F$58,$A5,'Researchers'!$G$2:$G$58,E$4)</x:f>
        <x:v>7</x:v>
      </x:c>
      <x:c r="F5" s="47" t="n">
        <x:f>COUNTIFS('Researchers'!$F$2:$F$58,$A5,'Researchers'!$G$2:$G$58,F$4)</x:f>
        <x:v>5</x:v>
      </x:c>
      <x:c r="G5" s="47" t="n">
        <x:f>COUNTIFS('Researchers'!$F$2:$F$58,$A5,'Researchers'!$G$2:$G$58,G$4)</x:f>
        <x:v>1</x:v>
      </x:c>
      <x:c r="H5" s="42"/>
    </x:row>
    <x:row r="6">
      <x:c r="A6" s="47" t="str">
        <x:v>G2</x:v>
      </x:c>
      <x:c r="B6" s="47" t="n">
        <x:f>COUNTIFS('Researchers'!$F$2:$F$58,$A6,'Researchers'!$G$2:$G$58,B$4)</x:f>
        <x:v>0</x:v>
      </x:c>
      <x:c r="C6" s="47" t="n">
        <x:f>COUNTIFS('Researchers'!$F$2:$F$58,$A6,'Researchers'!$G$2:$G$58,C$4)</x:f>
        <x:v>0</x:v>
      </x:c>
      <x:c r="D6" s="47" t="n">
        <x:f>COUNTIFS('Researchers'!$F$2:$F$58,$A6,'Researchers'!$G$2:$G$58,D$4)</x:f>
        <x:v>0</x:v>
      </x:c>
      <x:c r="E6" s="47" t="n">
        <x:f>COUNTIFS('Researchers'!$F$2:$F$58,$A6,'Researchers'!$G$2:$G$58,E$4)</x:f>
        <x:v>3</x:v>
      </x:c>
      <x:c r="F6" s="47" t="n">
        <x:f>COUNTIFS('Researchers'!$F$2:$F$58,$A6,'Researchers'!$G$2:$G$58,F$4)</x:f>
        <x:v>4</x:v>
      </x:c>
      <x:c r="G6" s="47" t="n">
        <x:f>COUNTIFS('Researchers'!$F$2:$F$58,$A6,'Researchers'!$G$2:$G$58,G$4)</x:f>
        <x:v>3</x:v>
      </x:c>
      <x:c r="H6" s="42"/>
    </x:row>
    <x:row r="7">
      <x:c r="A7" s="47" t="str">
        <x:v>G3</x:v>
      </x:c>
      <x:c r="B7" s="47" t="n">
        <x:f>COUNTIFS('Researchers'!$F$2:$F$58,$A7,'Researchers'!$G$2:$G$58,B$4)</x:f>
        <x:v>0</x:v>
      </x:c>
      <x:c r="C7" s="47" t="n">
        <x:f>COUNTIFS('Researchers'!$F$2:$F$58,$A7,'Researchers'!$G$2:$G$58,C$4)</x:f>
        <x:v>0</x:v>
      </x:c>
      <x:c r="D7" s="47" t="n">
        <x:f>COUNTIFS('Researchers'!$F$2:$F$58,$A7,'Researchers'!$G$2:$G$58,D$4)</x:f>
        <x:v>0</x:v>
      </x:c>
      <x:c r="E7" s="47" t="n">
        <x:f>COUNTIFS('Researchers'!$F$2:$F$58,$A7,'Researchers'!$G$2:$G$58,E$4)</x:f>
        <x:v>0</x:v>
      </x:c>
      <x:c r="F7" s="47" t="n">
        <x:f>COUNTIFS('Researchers'!$F$2:$F$58,$A7,'Researchers'!$G$2:$G$58,F$4)</x:f>
        <x:v>0</x:v>
      </x:c>
      <x:c r="G7" s="47" t="n">
        <x:f>COUNTIFS('Researchers'!$F$2:$F$58,$A7,'Researchers'!$G$2:$G$58,G$4)</x:f>
        <x:v>0</x:v>
      </x:c>
      <x:c r="H7" s="42"/>
    </x:row>
    <x:row r="8">
      <x:c r="A8" s="47" t="str">
        <x:v>U1</x:v>
      </x:c>
      <x:c r="B8" s="47" t="n">
        <x:f>COUNTIFS('Researchers'!$F$2:$F$58,$A8,'Researchers'!$G$2:$G$58,B$4)</x:f>
        <x:v>2</x:v>
      </x:c>
      <x:c r="C8" s="47" t="n">
        <x:f>COUNTIFS('Researchers'!$F$2:$F$58,$A8,'Researchers'!$G$2:$G$58,C$4)</x:f>
        <x:v>0</x:v>
      </x:c>
      <x:c r="D8" s="47" t="n">
        <x:f>COUNTIFS('Researchers'!$F$2:$F$58,$A8,'Researchers'!$G$2:$G$58,D$4)</x:f>
        <x:v>0</x:v>
      </x:c>
      <x:c r="E8" s="47" t="n">
        <x:f>COUNTIFS('Researchers'!$F$2:$F$58,$A8,'Researchers'!$G$2:$G$58,E$4)</x:f>
        <x:v>0</x:v>
      </x:c>
      <x:c r="F8" s="47" t="n">
        <x:f>COUNTIFS('Researchers'!$F$2:$F$58,$A8,'Researchers'!$G$2:$G$58,F$4)</x:f>
        <x:v>0</x:v>
      </x:c>
      <x:c r="G8" s="47" t="n">
        <x:f>COUNTIFS('Researchers'!$F$2:$F$58,$A8,'Researchers'!$G$2:$G$58,G$4)</x:f>
        <x:v>2</x:v>
      </x:c>
      <x:c r="H8" s="42"/>
    </x:row>
    <x:row r="9">
      <x:c r="A9" s="47" t="str">
        <x:v>U2</x:v>
      </x:c>
      <x:c r="B9" s="47" t="n">
        <x:f>COUNTIFS('Researchers'!$F$2:$F$58,$A9,'Researchers'!$G$2:$G$58,B$4)</x:f>
        <x:v>5</x:v>
      </x:c>
      <x:c r="C9" s="47" t="n">
        <x:f>COUNTIFS('Researchers'!$F$2:$F$58,$A9,'Researchers'!$G$2:$G$58,C$4)</x:f>
        <x:v>3</x:v>
      </x:c>
      <x:c r="D9" s="47" t="n">
        <x:f>COUNTIFS('Researchers'!$F$2:$F$58,$A9,'Researchers'!$G$2:$G$58,D$4)</x:f>
        <x:v>0</x:v>
      </x:c>
      <x:c r="E9" s="47" t="n">
        <x:f>COUNTIFS('Researchers'!$F$2:$F$58,$A9,'Researchers'!$G$2:$G$58,E$4)</x:f>
        <x:v>0</x:v>
      </x:c>
      <x:c r="F9" s="47" t="n">
        <x:f>COUNTIFS('Researchers'!$F$2:$F$58,$A9,'Researchers'!$G$2:$G$58,F$4)</x:f>
        <x:v>1</x:v>
      </x:c>
      <x:c r="G9" s="47" t="n">
        <x:f>COUNTIFS('Researchers'!$F$2:$F$58,$A9,'Researchers'!$G$2:$G$58,G$4)</x:f>
        <x:v>5</x:v>
      </x:c>
      <x:c r="H9" s="42"/>
    </x:row>
    <x:row r="10">
      <x:c r="A10" s="47" t="str">
        <x:v>U3</x:v>
      </x:c>
      <x:c r="B10" s="47" t="n">
        <x:f>COUNTIFS('Researchers'!$F$2:$F$58,$A10,'Researchers'!$G$2:$G$58,B$4)</x:f>
        <x:v>0</x:v>
      </x:c>
      <x:c r="C10" s="47" t="n">
        <x:f>COUNTIFS('Researchers'!$F$2:$F$58,$A10,'Researchers'!$G$2:$G$58,C$4)</x:f>
        <x:v>0</x:v>
      </x:c>
      <x:c r="D10" s="47" t="n">
        <x:f>COUNTIFS('Researchers'!$F$2:$F$58,$A10,'Researchers'!$G$2:$G$58,D$4)</x:f>
        <x:v>0</x:v>
      </x:c>
      <x:c r="E10" s="47" t="n">
        <x:f>COUNTIFS('Researchers'!$F$2:$F$58,$A10,'Researchers'!$G$2:$G$58,E$4)</x:f>
        <x:v>0</x:v>
      </x:c>
      <x:c r="F10" s="47" t="n">
        <x:f>COUNTIFS('Researchers'!$F$2:$F$58,$A10,'Researchers'!$G$2:$G$58,F$4)</x:f>
        <x:v>8</x:v>
      </x:c>
      <x:c r="G10" s="47" t="n">
        <x:f>COUNTIFS('Researchers'!$F$2:$F$58,$A10,'Researchers'!$G$2:$G$58,G$4)</x:f>
        <x:v>0</x:v>
      </x:c>
      <x:c r="H10" s="42"/>
    </x:row>
    <x:row r="11">
      <x:c r="A11" s="47" t="str">
        <x:v>VL</x:v>
      </x:c>
      <x:c r="B11" s="47" t="n">
        <x:f>COUNTIFS('Researchers'!$F$2:$F$58,$A11,'Researchers'!$G$2:$G$58,B$4)</x:f>
        <x:v>0</x:v>
      </x:c>
      <x:c r="C11" s="47" t="n">
        <x:f>COUNTIFS('Researchers'!$F$2:$F$58,$A11,'Researchers'!$G$2:$G$58,C$4)</x:f>
        <x:v>2</x:v>
      </x:c>
      <x:c r="D11" s="47" t="n">
        <x:f>COUNTIFS('Researchers'!$F$2:$F$58,$A11,'Researchers'!$G$2:$G$58,D$4)</x:f>
        <x:v>0</x:v>
      </x:c>
      <x:c r="E11" s="47" t="n">
        <x:f>COUNTIFS('Researchers'!$F$2:$F$58,$A11,'Researchers'!$G$2:$G$58,E$4)</x:f>
        <x:v>0</x:v>
      </x:c>
      <x:c r="F11" s="47" t="n">
        <x:f>COUNTIFS('Researchers'!$F$2:$F$58,$A11,'Researchers'!$G$2:$G$58,F$4)</x:f>
        <x:v>0</x:v>
      </x:c>
      <x:c r="G11" s="47" t="n">
        <x:f>COUNTIFS('Researchers'!$F$2:$F$58,$A11,'Researchers'!$G$2:$G$58,G$4)</x:f>
        <x:v>5</x:v>
      </x:c>
      <x:c r="H11" s="42"/>
    </x:row>
    <x:row r="12">
      <x:c r="A12" s="47" t="str">
        <x:v>A</x:v>
      </x:c>
      <x:c r="B12" s="47" t="n">
        <x:f>COUNTIFS('Researchers'!$F$2:$F$58,$A12,'Researchers'!$G$2:$G$58,B$4)</x:f>
        <x:v>0</x:v>
      </x:c>
      <x:c r="C12" s="47" t="n">
        <x:f>COUNTIFS('Researchers'!$F$2:$F$58,$A12,'Researchers'!$G$2:$G$58,C$4)</x:f>
        <x:v>0</x:v>
      </x:c>
      <x:c r="D12" s="47" t="n">
        <x:f>COUNTIFS('Researchers'!$F$2:$F$58,$A12,'Researchers'!$G$2:$G$58,D$4)</x:f>
        <x:v>0</x:v>
      </x:c>
      <x:c r="E12" s="47" t="n">
        <x:f>COUNTIFS('Researchers'!$F$2:$F$58,$A12,'Researchers'!$G$2:$G$58,E$4)</x:f>
        <x:v>0</x:v>
      </x:c>
      <x:c r="F12" s="47" t="n">
        <x:f>COUNTIFS('Researchers'!$F$2:$F$58,$A12,'Researchers'!$G$2:$G$58,F$4)</x:f>
        <x:v>0</x:v>
      </x:c>
      <x:c r="G12" s="47" t="n">
        <x:f>COUNTIFS('Researchers'!$F$2:$F$58,$A12,'Researchers'!$G$2:$G$58,G$4)</x:f>
        <x:v>0</x:v>
      </x:c>
      <x:c r="H12" s="42"/>
    </x:row>
    <x:row r="13">
      <x:c r="A13" s="47"/>
      <x:c r="B13" s="47"/>
      <x:c r="C13" s="47"/>
      <x:c r="D13" s="47"/>
      <x:c r="E13" s="47"/>
      <x:c r="F13" s="47"/>
      <x:c r="G13" s="47"/>
      <x:c r="H13" s="42"/>
    </x:row>
    <x:row r="14">
      <x:c r="A14" s="43" t="str">
        <x:v>Origin</x:v>
      </x:c>
      <x:c r="B14" s="48" t="str">
        <x:v>Perception backbone</x:v>
      </x:c>
      <x:c r="C14" s="48" t="str">
        <x:v>Reward / affordance</x:v>
      </x:c>
      <x:c r="D14" s="48" t="str">
        <x:v>Data generation</x:v>
      </x:c>
      <x:c r="E14" s="48" t="str">
        <x:v>World simulation</x:v>
      </x:c>
      <x:c r="F14" s="48" t="str">
        <x:v>Planning</x:v>
      </x:c>
      <x:c r="G14" s="44" t="str">
        <x:v>Direct policy</x:v>
      </x:c>
      <x:c r="H14" s="42"/>
    </x:row>
    <x:row r="15">
      <x:c r="A15" s="47" t="str">
        <x:v>G1</x:v>
      </x:c>
      <x:c r="B15" s="47" t="n">
        <x:f>COUNTIFS('Papers'!$G$2:$G$56,$A15,'Papers'!$I$2:$I$56,B$14,'Papers'!$K$2:$K$56,"Yes")</x:f>
        <x:v>0</x:v>
      </x:c>
      <x:c r="C15" s="47" t="n">
        <x:f>COUNTIFS('Papers'!$G$2:$G$56,$A15,'Papers'!$I$2:$I$56,C$14,'Papers'!$K$2:$K$56,"Yes")</x:f>
        <x:v>1</x:v>
      </x:c>
      <x:c r="D15" s="47" t="n">
        <x:f>COUNTIFS('Papers'!$G$2:$G$56,$A15,'Papers'!$I$2:$I$56,D$14,'Papers'!$K$2:$K$56,"Yes")</x:f>
        <x:v>1</x:v>
      </x:c>
      <x:c r="E15" s="47" t="n">
        <x:f>COUNTIFS('Papers'!$G$2:$G$56,$A15,'Papers'!$I$2:$I$56,E$14,'Papers'!$K$2:$K$56,"Yes")</x:f>
        <x:v>0</x:v>
      </x:c>
      <x:c r="F15" s="47" t="n">
        <x:f>COUNTIFS('Papers'!$G$2:$G$56,$A15,'Papers'!$I$2:$I$56,F$14,'Papers'!$K$2:$K$56,"Yes")</x:f>
        <x:v>1</x:v>
      </x:c>
      <x:c r="G15" s="47" t="n">
        <x:f>COUNTIFS('Papers'!$G$2:$G$56,$A15,'Papers'!$I$2:$I$56,G$14,'Papers'!$K$2:$K$56,"Yes")</x:f>
        <x:v>1</x:v>
      </x:c>
      <x:c r="H15" s="42"/>
    </x:row>
    <x:row r="16">
      <x:c r="A16" s="47" t="str">
        <x:v>G2</x:v>
      </x:c>
      <x:c r="B16" s="47" t="n">
        <x:f>COUNTIFS('Papers'!$G$2:$G$56,$A16,'Papers'!$I$2:$I$56,B$14,'Papers'!$K$2:$K$56,"Yes")</x:f>
        <x:v>0</x:v>
      </x:c>
      <x:c r="C16" s="47" t="n">
        <x:f>COUNTIFS('Papers'!$G$2:$G$56,$A16,'Papers'!$I$2:$I$56,C$14,'Papers'!$K$2:$K$56,"Yes")</x:f>
        <x:v>0</x:v>
      </x:c>
      <x:c r="D16" s="47" t="n">
        <x:f>COUNTIFS('Papers'!$G$2:$G$56,$A16,'Papers'!$I$2:$I$56,D$14,'Papers'!$K$2:$K$56,"Yes")</x:f>
        <x:v>1</x:v>
      </x:c>
      <x:c r="E16" s="47" t="n">
        <x:f>COUNTIFS('Papers'!$G$2:$G$56,$A16,'Papers'!$I$2:$I$56,E$14,'Papers'!$K$2:$K$56,"Yes")</x:f>
        <x:v>7</x:v>
      </x:c>
      <x:c r="F16" s="47" t="n">
        <x:f>COUNTIFS('Papers'!$G$2:$G$56,$A16,'Papers'!$I$2:$I$56,F$14,'Papers'!$K$2:$K$56,"Yes")</x:f>
        <x:v>5</x:v>
      </x:c>
      <x:c r="G16" s="47" t="n">
        <x:f>COUNTIFS('Papers'!$G$2:$G$56,$A16,'Papers'!$I$2:$I$56,G$14,'Papers'!$K$2:$K$56,"Yes")</x:f>
        <x:v>0</x:v>
      </x:c>
      <x:c r="H16" s="42"/>
    </x:row>
    <x:row r="17">
      <x:c r="A17" s="47" t="str">
        <x:v>G3</x:v>
      </x:c>
      <x:c r="B17" s="47" t="n">
        <x:f>COUNTIFS('Papers'!$G$2:$G$56,$A17,'Papers'!$I$2:$I$56,B$14,'Papers'!$K$2:$K$56,"Yes")</x:f>
        <x:v>0</x:v>
      </x:c>
      <x:c r="C17" s="47" t="n">
        <x:f>COUNTIFS('Papers'!$G$2:$G$56,$A17,'Papers'!$I$2:$I$56,C$14,'Papers'!$K$2:$K$56,"Yes")</x:f>
        <x:v>0</x:v>
      </x:c>
      <x:c r="D17" s="47" t="n">
        <x:f>COUNTIFS('Papers'!$G$2:$G$56,$A17,'Papers'!$I$2:$I$56,D$14,'Papers'!$K$2:$K$56,"Yes")</x:f>
        <x:v>0</x:v>
      </x:c>
      <x:c r="E17" s="47" t="n">
        <x:f>COUNTIFS('Papers'!$G$2:$G$56,$A17,'Papers'!$I$2:$I$56,E$14,'Papers'!$K$2:$K$56,"Yes")</x:f>
        <x:v>0</x:v>
      </x:c>
      <x:c r="F17" s="47" t="n">
        <x:f>COUNTIFS('Papers'!$G$2:$G$56,$A17,'Papers'!$I$2:$I$56,F$14,'Papers'!$K$2:$K$56,"Yes")</x:f>
        <x:v>0</x:v>
      </x:c>
      <x:c r="G17" s="47" t="n">
        <x:f>COUNTIFS('Papers'!$G$2:$G$56,$A17,'Papers'!$I$2:$I$56,G$14,'Papers'!$K$2:$K$56,"Yes")</x:f>
        <x:v>2</x:v>
      </x:c>
      <x:c r="H17" s="42"/>
    </x:row>
    <x:row r="18">
      <x:c r="A18" s="47" t="str">
        <x:v>U1</x:v>
      </x:c>
      <x:c r="B18" s="47" t="n">
        <x:f>COUNTIFS('Papers'!$G$2:$G$56,$A18,'Papers'!$I$2:$I$56,B$14,'Papers'!$K$2:$K$56,"Yes")</x:f>
        <x:v>0</x:v>
      </x:c>
      <x:c r="C18" s="47" t="n">
        <x:f>COUNTIFS('Papers'!$G$2:$G$56,$A18,'Papers'!$I$2:$I$56,C$14,'Papers'!$K$2:$K$56,"Yes")</x:f>
        <x:v>0</x:v>
      </x:c>
      <x:c r="D18" s="47" t="n">
        <x:f>COUNTIFS('Papers'!$G$2:$G$56,$A18,'Papers'!$I$2:$I$56,D$14,'Papers'!$K$2:$K$56,"Yes")</x:f>
        <x:v>0</x:v>
      </x:c>
      <x:c r="E18" s="47" t="n">
        <x:f>COUNTIFS('Papers'!$G$2:$G$56,$A18,'Papers'!$I$2:$I$56,E$14,'Papers'!$K$2:$K$56,"Yes")</x:f>
        <x:v>0</x:v>
      </x:c>
      <x:c r="F18" s="47" t="n">
        <x:f>COUNTIFS('Papers'!$G$2:$G$56,$A18,'Papers'!$I$2:$I$56,F$14,'Papers'!$K$2:$K$56,"Yes")</x:f>
        <x:v>0</x:v>
      </x:c>
      <x:c r="G18" s="47" t="n">
        <x:f>COUNTIFS('Papers'!$G$2:$G$56,$A18,'Papers'!$I$2:$I$56,G$14,'Papers'!$K$2:$K$56,"Yes")</x:f>
        <x:v>0</x:v>
      </x:c>
      <x:c r="H18" s="42"/>
    </x:row>
    <x:row r="19">
      <x:c r="A19" s="47" t="str">
        <x:v>U2</x:v>
      </x:c>
      <x:c r="B19" s="47" t="n">
        <x:f>COUNTIFS('Papers'!$G$2:$G$56,$A19,'Papers'!$I$2:$I$56,B$14,'Papers'!$K$2:$K$56,"Yes")</x:f>
        <x:v>0</x:v>
      </x:c>
      <x:c r="C19" s="47" t="n">
        <x:f>COUNTIFS('Papers'!$G$2:$G$56,$A19,'Papers'!$I$2:$I$56,C$14,'Papers'!$K$2:$K$56,"Yes")</x:f>
        <x:v>1</x:v>
      </x:c>
      <x:c r="D19" s="47" t="n">
        <x:f>COUNTIFS('Papers'!$G$2:$G$56,$A19,'Papers'!$I$2:$I$56,D$14,'Papers'!$K$2:$K$56,"Yes")</x:f>
        <x:v>0</x:v>
      </x:c>
      <x:c r="E19" s="47" t="n">
        <x:f>COUNTIFS('Papers'!$G$2:$G$56,$A19,'Papers'!$I$2:$I$56,E$14,'Papers'!$K$2:$K$56,"Yes")</x:f>
        <x:v>1</x:v>
      </x:c>
      <x:c r="F19" s="47" t="n">
        <x:f>COUNTIFS('Papers'!$G$2:$G$56,$A19,'Papers'!$I$2:$I$56,F$14,'Papers'!$K$2:$K$56,"Yes")</x:f>
        <x:v>0</x:v>
      </x:c>
      <x:c r="G19" s="47" t="n">
        <x:f>COUNTIFS('Papers'!$G$2:$G$56,$A19,'Papers'!$I$2:$I$56,G$14,'Papers'!$K$2:$K$56,"Yes")</x:f>
        <x:v>4</x:v>
      </x:c>
      <x:c r="H19" s="42"/>
    </x:row>
    <x:row r="20">
      <x:c r="A20" s="47" t="str">
        <x:v>U3</x:v>
      </x:c>
      <x:c r="B20" s="47" t="n">
        <x:f>COUNTIFS('Papers'!$G$2:$G$56,$A20,'Papers'!$I$2:$I$56,B$14,'Papers'!$K$2:$K$56,"Yes")</x:f>
        <x:v>0</x:v>
      </x:c>
      <x:c r="C20" s="47" t="n">
        <x:f>COUNTIFS('Papers'!$G$2:$G$56,$A20,'Papers'!$I$2:$I$56,C$14,'Papers'!$K$2:$K$56,"Yes")</x:f>
        <x:v>0</x:v>
      </x:c>
      <x:c r="D20" s="47" t="n">
        <x:f>COUNTIFS('Papers'!$G$2:$G$56,$A20,'Papers'!$I$2:$I$56,D$14,'Papers'!$K$2:$K$56,"Yes")</x:f>
        <x:v>0</x:v>
      </x:c>
      <x:c r="E20" s="47" t="n">
        <x:f>COUNTIFS('Papers'!$G$2:$G$56,$A20,'Papers'!$I$2:$I$56,E$14,'Papers'!$K$2:$K$56,"Yes")</x:f>
        <x:v>0</x:v>
      </x:c>
      <x:c r="F20" s="47" t="n">
        <x:f>COUNTIFS('Papers'!$G$2:$G$56,$A20,'Papers'!$I$2:$I$56,F$14,'Papers'!$K$2:$K$56,"Yes")</x:f>
        <x:v>1</x:v>
      </x:c>
      <x:c r="G20" s="47" t="n">
        <x:f>COUNTIFS('Papers'!$G$2:$G$56,$A20,'Papers'!$I$2:$I$56,G$14,'Papers'!$K$2:$K$56,"Yes")</x:f>
        <x:v>0</x:v>
      </x:c>
      <x:c r="H20" s="42"/>
    </x:row>
    <x:row r="21">
      <x:c r="A21" s="47" t="str">
        <x:v>VL</x:v>
      </x:c>
      <x:c r="B21" s="47" t="n">
        <x:f>COUNTIFS('Papers'!$G$2:$G$56,$A21,'Papers'!$I$2:$I$56,B$14,'Papers'!$K$2:$K$56,"Yes")</x:f>
        <x:v>0</x:v>
      </x:c>
      <x:c r="C21" s="47" t="n">
        <x:f>COUNTIFS('Papers'!$G$2:$G$56,$A21,'Papers'!$I$2:$I$56,C$14,'Papers'!$K$2:$K$56,"Yes")</x:f>
        <x:v>1</x:v>
      </x:c>
      <x:c r="D21" s="47" t="n">
        <x:f>COUNTIFS('Papers'!$G$2:$G$56,$A21,'Papers'!$I$2:$I$56,D$14,'Papers'!$K$2:$K$56,"Yes")</x:f>
        <x:v>0</x:v>
      </x:c>
      <x:c r="E21" s="47" t="n">
        <x:f>COUNTIFS('Papers'!$G$2:$G$56,$A21,'Papers'!$I$2:$I$56,E$14,'Papers'!$K$2:$K$56,"Yes")</x:f>
        <x:v>0</x:v>
      </x:c>
      <x:c r="F21" s="47" t="n">
        <x:f>COUNTIFS('Papers'!$G$2:$G$56,$A21,'Papers'!$I$2:$I$56,F$14,'Papers'!$K$2:$K$56,"Yes")</x:f>
        <x:v>0</x:v>
      </x:c>
      <x:c r="G21" s="47" t="n">
        <x:f>COUNTIFS('Papers'!$G$2:$G$56,$A21,'Papers'!$I$2:$I$56,G$14,'Papers'!$K$2:$K$56,"Yes")</x:f>
        <x:v>3</x:v>
      </x:c>
      <x:c r="H21" s="42"/>
    </x:row>
    <x:row r="22">
      <x:c r="A22" s="47" t="str">
        <x:v>A</x:v>
      </x:c>
      <x:c r="B22" s="47" t="n">
        <x:f>COUNTIFS('Papers'!$G$2:$G$56,$A22,'Papers'!$I$2:$I$56,B$14,'Papers'!$K$2:$K$56,"Yes")</x:f>
        <x:v>0</x:v>
      </x:c>
      <x:c r="C22" s="47" t="n">
        <x:f>COUNTIFS('Papers'!$G$2:$G$56,$A22,'Papers'!$I$2:$I$56,C$14,'Papers'!$K$2:$K$56,"Yes")</x:f>
        <x:v>0</x:v>
      </x:c>
      <x:c r="D22" s="47" t="n">
        <x:f>COUNTIFS('Papers'!$G$2:$G$56,$A22,'Papers'!$I$2:$I$56,D$14,'Papers'!$K$2:$K$56,"Yes")</x:f>
        <x:v>0</x:v>
      </x:c>
      <x:c r="E22" s="47" t="n">
        <x:f>COUNTIFS('Papers'!$G$2:$G$56,$A22,'Papers'!$I$2:$I$56,E$14,'Papers'!$K$2:$K$56,"Yes")</x:f>
        <x:v>0</x:v>
      </x:c>
      <x:c r="F22" s="47" t="n">
        <x:f>COUNTIFS('Papers'!$G$2:$G$56,$A22,'Papers'!$I$2:$I$56,F$14,'Papers'!$K$2:$K$56,"Yes")</x:f>
        <x:v>0</x:v>
      </x:c>
      <x:c r="G22" s="47" t="n">
        <x:f>COUNTIFS('Papers'!$G$2:$G$56,$A22,'Papers'!$I$2:$I$56,G$14,'Papers'!$K$2:$K$56,"Yes")</x:f>
        <x:v>1</x:v>
      </x:c>
      <x:c r="H22" s="42"/>
    </x:row>
    <x:row r="23">
      <x:c r="A23" s="42"/>
      <x:c r="B23" s="42"/>
      <x:c r="C23" s="42"/>
      <x:c r="D23" s="42"/>
      <x:c r="E23" s="42"/>
      <x:c r="F23" s="42"/>
      <x:c r="G23" s="42"/>
      <x:c r="H23" s="42"/>
    </x:row>
    <x:row r="24" ht="25.5" customHeight="1">
      <x:c r="A24" s="47" t="str">
        <x:v>Core matrix: Bridge_flag = Yes only (31 papers after the G2 audit).</x:v>
      </x:c>
      <x:c r="B24" s="47" t="str">
        <x:v>Researcher counts using one primary origin and one primary robot role per person</x:v>
      </x:c>
      <x:c r="C24" s="47"/>
      <x:c r="D24" s="47"/>
      <x:c r="E24" s="47"/>
      <x:c r="F24" s="47"/>
      <x:c r="G24" s="47"/>
      <x:c r="H24" s="42"/>
    </x:row>
    <x:row r="25" ht="25.5" customHeight="1">
      <x:c r="A25" s="47" t="str">
        <x:v>GameNGen, Genie, and related game/general interactive world models are listed in Papers as Adjacent and excluded from this robot-bridge count.</x:v>
      </x:c>
      <x:c r="B25" s="47" t="str">
        <x:v>Paper counts with Bridge_flag=Yes; Adjacent/No excluded</x:v>
      </x:c>
      <x:c r="C25" s="47"/>
      <x:c r="D25" s="47"/>
      <x:c r="E25" s="47"/>
      <x:c r="F25" s="47"/>
      <x:c r="G25" s="47"/>
      <x:c r="H25" s="42"/>
    </x:row>
  </x:sheetData>
  <x:mergeCells>
    <x:mergeCell ref="A1:H2"/>
    <x:mergeCell ref="A24:G24"/>
    <x:mergeCell ref="A25:G25"/>
  </x:mergeCells>
  <x:conditionalFormatting sqref="B5:G12">
    <x:cfRule type="colorScale" priority="1">
      <x:colorScale>
        <x:cfvo type="min"/>
        <x:cfvo type="percentile" val="50"/>
        <x:cfvo type="max"/>
        <x:color rgb="FFFFFFFF"/>
        <x:color rgb="FFBFE3DF"/>
        <x:color rgb="FF2A8C82"/>
      </x:colorScale>
    </x:cfRule>
  </x:conditionalFormatting>
  <x:conditionalFormatting sqref="B15:G22">
    <x:cfRule type="colorScale" priority="2">
      <x:colorScale>
        <x:cfvo type="min"/>
        <x:cfvo type="percentile" val="50"/>
        <x:cfvo type="max"/>
        <x:color rgb="FFFFFFFF"/>
        <x:color rgb="FFD8E7F3"/>
        <x:color rgb="FF2F6B9A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2" max="12" width="18" hidden="0" customWidth="1"/>
    <x:col min="13" max="13" width="55" hidden="0" customWidth="1"/>
    <x:col min="14" max="14" width="18" hidden="0" customWidth="1"/>
    <x:col min="15" max="15" width="18" hidden="0" customWidth="1"/>
    <x:col min="16" max="16" width="23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58" t="str">
        <x:v>Impact Ranking — Citation-grounded bridge view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42"/>
      <x:c r="L1" s="42"/>
      <x:c r="M1" s="42"/>
      <x:c r="N1" s="42"/>
      <x:c r="O1" s="42"/>
      <x:c r="P1" s="42"/>
      <x:c r="Q1" s="42"/>
      <x:c r="R1" s="42"/>
      <x:c r="S1" s="42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42"/>
      <x:c r="L2" s="42"/>
      <x:c r="M2" s="42"/>
      <x:c r="N2" s="42"/>
      <x:c r="O2" s="42"/>
      <x:c r="P2" s="42"/>
      <x:c r="Q2" s="42"/>
      <x:c r="R2" s="42"/>
      <x:c r="S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</x:row>
    <x:row r="4">
      <x:c r="A4" s="57" t="str">
        <x:v>Researchers with complete representative-paper coverage are ranked by geometric mean of the two citation counts; High ×1.0, Medium ×0.8. Partial coverage is N/A and excluded.</x:v>
      </x:c>
      <x:c r="B4" s="57"/>
      <x:c r="C4" s="57"/>
      <x:c r="D4" s="57"/>
      <x:c r="E4" s="57"/>
      <x:c r="F4" s="57"/>
      <x:c r="G4" s="57"/>
      <x:c r="H4" s="57"/>
      <x:c r="I4" s="57"/>
      <x:c r="J4" s="57"/>
      <x:c r="K4" s="47"/>
      <x:c r="L4" s="57" t="str">
        <x:v>Top bridge papers by observed citations (adjacent/control papers excluded)</x:v>
      </x:c>
      <x:c r="M4" s="57"/>
      <x:c r="N4" s="57"/>
      <x:c r="O4" s="57"/>
      <x:c r="P4" s="57"/>
      <x:c r="Q4" s="57"/>
      <x:c r="R4" s="57"/>
      <x:c r="S4" s="5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</x:row>
    <x:row r="6">
      <x:c r="A6" s="43" t="str">
        <x:v>Rank</x:v>
      </x:c>
      <x:c r="B6" s="48" t="str">
        <x:v>Researcher</x:v>
      </x:c>
      <x:c r="C6" s="48" t="str">
        <x:v>Origin</x:v>
      </x:c>
      <x:c r="D6" s="48" t="str">
        <x:v>Robot role</x:v>
      </x:c>
      <x:c r="E6" s="48" t="str">
        <x:v>Video paper</x:v>
      </x:c>
      <x:c r="F6" s="48" t="str">
        <x:v>Video cites</x:v>
      </x:c>
      <x:c r="G6" s="48" t="str">
        <x:v>Robotics paper</x:v>
      </x:c>
      <x:c r="H6" s="48" t="str">
        <x:v>Robotics cites</x:v>
      </x:c>
      <x:c r="I6" s="48" t="str">
        <x:v>Bridge score</x:v>
      </x:c>
      <x:c r="J6" s="44" t="str">
        <x:v>Coverage</x:v>
      </x:c>
      <x:c r="K6" s="47"/>
      <x:c r="L6" s="43" t="str">
        <x:v>Bridge rank</x:v>
      </x:c>
      <x:c r="M6" s="48" t="str">
        <x:v>Paper</x:v>
      </x:c>
      <x:c r="N6" s="48" t="str">
        <x:v>Year</x:v>
      </x:c>
      <x:c r="O6" s="48" t="str">
        <x:v>Architecture</x:v>
      </x:c>
      <x:c r="P6" s="48" t="str">
        <x:v>Robot role</x:v>
      </x:c>
      <x:c r="Q6" s="48" t="str">
        <x:v>Citations</x:v>
      </x:c>
      <x:c r="R6" s="48" t="str">
        <x:v>Cites/year</x:v>
      </x:c>
      <x:c r="S6" s="44" t="str">
        <x:v>Overall rank</x:v>
      </x:c>
    </x:row>
    <x:row r="7">
      <x:c r="A7" s="49" t="n">
        <x:v>1</x:v>
      </x:c>
      <x:c r="B7" s="47" t="str">
        <x:v>Chelsea Finn</x:v>
      </x:c>
      <x:c r="C7" s="47" t="str">
        <x:v>G2</x:v>
      </x:c>
      <x:c r="D7" s="47" t="str">
        <x:v>Direct policy</x:v>
      </x:c>
      <x:c r="E7" s="47" t="str">
        <x:v>P009</x:v>
      </x:c>
      <x:c r="F7" s="50" t="n">
        <x:v>1130</x:v>
      </x:c>
      <x:c r="G7" s="50" t="str">
        <x:v>P031</x:v>
      </x:c>
      <x:c r="H7" s="50" t="n">
        <x:v>3896</x:v>
      </x:c>
      <x:c r="I7" s="51" t="n">
        <x:v>2099.4063446603186</x:v>
      </x:c>
      <x:c r="J7" s="47" t="str">
        <x:v>Both</x:v>
      </x:c>
      <x:c r="K7" s="47"/>
      <x:c r="L7" s="53" t="n">
        <x:v>1</x:v>
      </x:c>
      <x:c r="M7" s="47" t="str">
        <x:v>Time-Contrastive Networks: Self-Supervised Learning from Video</x:v>
      </x:c>
      <x:c r="N7" s="50" t="n">
        <x:v>2017</x:v>
      </x:c>
      <x:c r="O7" s="47" t="str">
        <x:v>U2</x:v>
      </x:c>
      <x:c r="P7" s="47" t="str">
        <x:v>Reward / affordance</x:v>
      </x:c>
      <x:c r="Q7" s="51" t="n">
        <x:v>1358</x:v>
      </x:c>
      <x:c r="R7" s="51" t="n">
        <x:v>135.8</x:v>
      </x:c>
      <x:c r="S7" s="50" t="n">
        <x:v>6</x:v>
      </x:c>
    </x:row>
    <x:row r="8">
      <x:c r="A8" s="49" t="n">
        <x:v>2</x:v>
      </x:c>
      <x:c r="B8" s="47" t="str">
        <x:v>Sergey Levine</x:v>
      </x:c>
      <x:c r="C8" s="47" t="str">
        <x:v>G2</x:v>
      </x:c>
      <x:c r="D8" s="47" t="str">
        <x:v>Planning</x:v>
      </x:c>
      <x:c r="E8" s="47" t="str">
        <x:v>P009</x:v>
      </x:c>
      <x:c r="F8" s="50" t="n">
        <x:v>1130</x:v>
      </x:c>
      <x:c r="G8" s="50" t="str">
        <x:v>P009</x:v>
      </x:c>
      <x:c r="H8" s="50" t="n">
        <x:v>1130</x:v>
      </x:c>
      <x:c r="I8" s="51" t="n">
        <x:v>1131</x:v>
      </x:c>
      <x:c r="J8" s="47" t="str">
        <x:v>Both</x:v>
      </x:c>
      <x:c r="K8" s="47"/>
      <x:c r="L8" s="53" t="n">
        <x:v>2</x:v>
      </x:c>
      <x:c r="M8" s="47" t="str">
        <x:v>Deep Visual Foresight for Planning Robot Motion</x:v>
      </x:c>
      <x:c r="N8" s="50" t="n">
        <x:v>2016</x:v>
      </x:c>
      <x:c r="O8" s="47" t="str">
        <x:v>G2</x:v>
      </x:c>
      <x:c r="P8" s="47" t="str">
        <x:v>Planning</x:v>
      </x:c>
      <x:c r="Q8" s="51" t="n">
        <x:v>1130</x:v>
      </x:c>
      <x:c r="R8" s="51" t="n">
        <x:v>102.72727272727273</x:v>
      </x:c>
      <x:c r="S8" s="50" t="n">
        <x:v>8</x:v>
      </x:c>
    </x:row>
    <x:row r="9">
      <x:c r="A9" s="49" t="n">
        <x:v>3</x:v>
      </x:c>
      <x:c r="B9" s="47" t="str">
        <x:v>Ming-Yu Liu</x:v>
      </x:c>
      <x:c r="C9" s="47" t="str">
        <x:v>G1</x:v>
      </x:c>
      <x:c r="D9" s="47" t="str">
        <x:v>World simulation</x:v>
      </x:c>
      <x:c r="E9" s="47" t="str">
        <x:v>P016</x:v>
      </x:c>
      <x:c r="F9" s="50" t="n">
        <x:v>740</x:v>
      </x:c>
      <x:c r="G9" s="50" t="str">
        <x:v>P016</x:v>
      </x:c>
      <x:c r="H9" s="50" t="n">
        <x:v>740</x:v>
      </x:c>
      <x:c r="I9" s="51" t="n">
        <x:v>741</x:v>
      </x:c>
      <x:c r="J9" s="47" t="str">
        <x:v>Both</x:v>
      </x:c>
      <x:c r="K9" s="47"/>
      <x:c r="L9" s="53" t="n">
        <x:v>3</x:v>
      </x:c>
      <x:c r="M9" s="47" t="str">
        <x:v>VIMA: General Robot Manipulation with Multimodal Prompts</x:v>
      </x:c>
      <x:c r="N9" s="50" t="n">
        <x:v>2023</x:v>
      </x:c>
      <x:c r="O9" s="47" t="str">
        <x:v>VL</x:v>
      </x:c>
      <x:c r="P9" s="47" t="str">
        <x:v>Direct policy</x:v>
      </x:c>
      <x:c r="Q9" s="51" t="n">
        <x:v>827</x:v>
      </x:c>
      <x:c r="R9" s="51" t="n">
        <x:v>206.75</x:v>
      </x:c>
      <x:c r="S9" s="50" t="n">
        <x:v>9</x:v>
      </x:c>
    </x:row>
    <x:row r="10">
      <x:c r="A10" s="49" t="n">
        <x:v>4</x:v>
      </x:c>
      <x:c r="B10" s="47" t="str">
        <x:v>Oier Mees</x:v>
      </x:c>
      <x:c r="C10" s="47" t="str">
        <x:v>VL</x:v>
      </x:c>
      <x:c r="D10" s="47" t="str">
        <x:v>Direct policy</x:v>
      </x:c>
      <x:c r="E10" s="47" t="str">
        <x:v>P034</x:v>
      </x:c>
      <x:c r="F10" s="50" t="n">
        <x:v>735</x:v>
      </x:c>
      <x:c r="G10" s="50" t="str">
        <x:v>P034</x:v>
      </x:c>
      <x:c r="H10" s="50" t="n">
        <x:v>735</x:v>
      </x:c>
      <x:c r="I10" s="51" t="n">
        <x:v>736</x:v>
      </x:c>
      <x:c r="J10" s="47" t="str">
        <x:v>Both</x:v>
      </x:c>
      <x:c r="K10" s="47"/>
      <x:c r="L10" s="53" t="n">
        <x:v>4</x:v>
      </x:c>
      <x:c r="M10" s="47" t="str">
        <x:v>Cosmos World Foundation Model Platform for Physical AI</x:v>
      </x:c>
      <x:c r="N10" s="50" t="n">
        <x:v>2025</x:v>
      </x:c>
      <x:c r="O10" s="47" t="str">
        <x:v>G2</x:v>
      </x:c>
      <x:c r="P10" s="47" t="str">
        <x:v>World simulation</x:v>
      </x:c>
      <x:c r="Q10" s="51" t="n">
        <x:v>740</x:v>
      </x:c>
      <x:c r="R10" s="51" t="n">
        <x:v>370</x:v>
      </x:c>
      <x:c r="S10" s="50" t="n">
        <x:v>11</x:v>
      </x:c>
    </x:row>
    <x:row r="11">
      <x:c r="A11" s="49" t="n">
        <x:v>5</x:v>
      </x:c>
      <x:c r="B11" s="47" t="str">
        <x:v>Thomas Brox</x:v>
      </x:c>
      <x:c r="C11" s="47" t="str">
        <x:v>U2</x:v>
      </x:c>
      <x:c r="D11" s="47" t="str">
        <x:v>Perception backbone</x:v>
      </x:c>
      <x:c r="E11" s="47" t="str">
        <x:v>P034</x:v>
      </x:c>
      <x:c r="F11" s="50" t="n">
        <x:v>735</x:v>
      </x:c>
      <x:c r="G11" s="50" t="str">
        <x:v>P034</x:v>
      </x:c>
      <x:c r="H11" s="50" t="n">
        <x:v>735</x:v>
      </x:c>
      <x:c r="I11" s="51" t="n">
        <x:v>736</x:v>
      </x:c>
      <x:c r="J11" s="47" t="str">
        <x:v>Both</x:v>
      </x:c>
      <x:c r="K11" s="47"/>
      <x:c r="L11" s="53" t="n">
        <x:v>5</x:v>
      </x:c>
      <x:c r="M11" s="47" t="str">
        <x:v>V-JEPA 2: Self-Supervised Video Models Enable Understanding, Prediction and Planning</x:v>
      </x:c>
      <x:c r="N11" s="50" t="n">
        <x:v>2025</x:v>
      </x:c>
      <x:c r="O11" s="47" t="str">
        <x:v>U3</x:v>
      </x:c>
      <x:c r="P11" s="47" t="str">
        <x:v>Planning</x:v>
      </x:c>
      <x:c r="Q11" s="51" t="n">
        <x:v>693</x:v>
      </x:c>
      <x:c r="R11" s="51" t="n">
        <x:v>346.5</x:v>
      </x:c>
      <x:c r="S11" s="50" t="n">
        <x:v>15</x:v>
      </x:c>
    </x:row>
    <x:row r="12">
      <x:c r="A12" s="49" t="n">
        <x:v>6</x:v>
      </x:c>
      <x:c r="B12" s="47" t="str">
        <x:v>Frederik Ebert</x:v>
      </x:c>
      <x:c r="C12" s="47" t="str">
        <x:v>G2</x:v>
      </x:c>
      <x:c r="D12" s="47" t="str">
        <x:v>Planning</x:v>
      </x:c>
      <x:c r="E12" s="47" t="str">
        <x:v>P009</x:v>
      </x:c>
      <x:c r="F12" s="50" t="n">
        <x:v>1130</x:v>
      </x:c>
      <x:c r="G12" s="50" t="str">
        <x:v>P037</x:v>
      </x:c>
      <x:c r="H12" s="50" t="n">
        <x:v>444</x:v>
      </x:c>
      <x:c r="I12" s="51" t="n">
        <x:v>709.4328720886847</x:v>
      </x:c>
      <x:c r="J12" s="47" t="str">
        <x:v>Both</x:v>
      </x:c>
      <x:c r="K12" s="47"/>
      <x:c r="L12" s="53" t="n">
        <x:v>6</x:v>
      </x:c>
      <x:c r="M12" s="47" t="str">
        <x:v>UniPi: Learning Universal Policies via Text-Guided Video Generation</x:v>
      </x:c>
      <x:c r="N12" s="50" t="n">
        <x:v>2023</x:v>
      </x:c>
      <x:c r="O12" s="47" t="str">
        <x:v>G1</x:v>
      </x:c>
      <x:c r="P12" s="47" t="str">
        <x:v>Planning</x:v>
      </x:c>
      <x:c r="Q12" s="51" t="n">
        <x:v>659</x:v>
      </x:c>
      <x:c r="R12" s="51" t="n">
        <x:v>164.75</x:v>
      </x:c>
      <x:c r="S12" s="50" t="n">
        <x:v>16</x:v>
      </x:c>
    </x:row>
    <x:row r="13">
      <x:c r="A13" s="49" t="n">
        <x:v>7</x:v>
      </x:c>
      <x:c r="B13" s="47" t="str">
        <x:v>David Fan</x:v>
      </x:c>
      <x:c r="C13" s="47" t="str">
        <x:v>U3</x:v>
      </x:c>
      <x:c r="D13" s="47" t="str">
        <x:v>Planning</x:v>
      </x:c>
      <x:c r="E13" s="47" t="str">
        <x:v>P004</x:v>
      </x:c>
      <x:c r="F13" s="50" t="n">
        <x:v>693</x:v>
      </x:c>
      <x:c r="G13" s="50" t="str">
        <x:v>P004</x:v>
      </x:c>
      <x:c r="H13" s="50" t="n">
        <x:v>693</x:v>
      </x:c>
      <x:c r="I13" s="51" t="n">
        <x:v>694</x:v>
      </x:c>
      <x:c r="J13" s="47" t="str">
        <x:v>Both</x:v>
      </x:c>
      <x:c r="K13" s="47"/>
      <x:c r="L13" s="53" t="n">
        <x:v>7</x:v>
      </x:c>
      <x:c r="M13" s="47" t="str">
        <x:v>MineDojo: Building Open-Ended Embodied Agents with Internet-Scale Knowledge</x:v>
      </x:c>
      <x:c r="N13" s="50" t="n">
        <x:v>2022</x:v>
      </x:c>
      <x:c r="O13" s="47" t="str">
        <x:v>VL</x:v>
      </x:c>
      <x:c r="P13" s="47" t="str">
        <x:v>Reward / affordance</x:v>
      </x:c>
      <x:c r="Q13" s="51" t="n">
        <x:v>544</x:v>
      </x:c>
      <x:c r="R13" s="51" t="n">
        <x:v>108.8</x:v>
      </x:c>
      <x:c r="S13" s="50" t="n">
        <x:v>19</x:v>
      </x:c>
    </x:row>
    <x:row r="14">
      <x:c r="A14" s="49" t="n">
        <x:v>8</x:v>
      </x:c>
      <x:c r="B14" s="47" t="str">
        <x:v>Franziska Meier</x:v>
      </x:c>
      <x:c r="C14" s="47" t="str">
        <x:v>U3</x:v>
      </x:c>
      <x:c r="D14" s="47" t="str">
        <x:v>Planning</x:v>
      </x:c>
      <x:c r="E14" s="47" t="str">
        <x:v>P004</x:v>
      </x:c>
      <x:c r="F14" s="50" t="n">
        <x:v>693</x:v>
      </x:c>
      <x:c r="G14" s="50" t="str">
        <x:v>P004</x:v>
      </x:c>
      <x:c r="H14" s="50" t="n">
        <x:v>693</x:v>
      </x:c>
      <x:c r="I14" s="51" t="n">
        <x:v>694</x:v>
      </x:c>
      <x:c r="J14" s="47" t="str">
        <x:v>Both</x:v>
      </x:c>
      <x:c r="K14" s="47"/>
      <x:c r="L14" s="53" t="n">
        <x:v>8</x:v>
      </x:c>
      <x:c r="M14" s="47" t="str">
        <x:v>Learning Interactive Real-World Simulators (UniSim)</x:v>
      </x:c>
      <x:c r="N14" s="50" t="n">
        <x:v>2023</x:v>
      </x:c>
      <x:c r="O14" s="47" t="str">
        <x:v>G2</x:v>
      </x:c>
      <x:c r="P14" s="47" t="str">
        <x:v>World simulation</x:v>
      </x:c>
      <x:c r="Q14" s="51" t="n">
        <x:v>448</x:v>
      </x:c>
      <x:c r="R14" s="51" t="n">
        <x:v>112</x:v>
      </x:c>
      <x:c r="S14" s="50" t="n">
        <x:v>20</x:v>
      </x:c>
    </x:row>
    <x:row r="15">
      <x:c r="A15" s="49" t="n">
        <x:v>9</x:v>
      </x:c>
      <x:c r="B15" s="47" t="str">
        <x:v>Sergio Arnaud</x:v>
      </x:c>
      <x:c r="C15" s="47" t="str">
        <x:v>U3</x:v>
      </x:c>
      <x:c r="D15" s="47" t="str">
        <x:v>Planning</x:v>
      </x:c>
      <x:c r="E15" s="47" t="str">
        <x:v>P004</x:v>
      </x:c>
      <x:c r="F15" s="50" t="n">
        <x:v>693</x:v>
      </x:c>
      <x:c r="G15" s="50" t="str">
        <x:v>P004</x:v>
      </x:c>
      <x:c r="H15" s="50" t="n">
        <x:v>693</x:v>
      </x:c>
      <x:c r="I15" s="51" t="n">
        <x:v>694</x:v>
      </x:c>
      <x:c r="J15" s="47" t="str">
        <x:v>Both</x:v>
      </x:c>
      <x:c r="K15" s="47"/>
      <x:c r="L15" s="53" t="n">
        <x:v>9</x:v>
      </x:c>
      <x:c r="M15" s="47" t="str">
        <x:v>RoboNet: Large-Scale Multi-Robot Learning</x:v>
      </x:c>
      <x:c r="N15" s="50" t="n">
        <x:v>2019</x:v>
      </x:c>
      <x:c r="O15" s="47" t="str">
        <x:v>G2</x:v>
      </x:c>
      <x:c r="P15" s="47" t="str">
        <x:v>Data generation</x:v>
      </x:c>
      <x:c r="Q15" s="51" t="n">
        <x:v>444</x:v>
      </x:c>
      <x:c r="R15" s="51" t="n">
        <x:v>55.5</x:v>
      </x:c>
      <x:c r="S15" s="50" t="n">
        <x:v>21</x:v>
      </x:c>
    </x:row>
    <x:row r="16">
      <x:c r="A16" s="49" t="n">
        <x:v>10</x:v>
      </x:c>
      <x:c r="B16" s="47" t="str">
        <x:v>Linxi Fan</x:v>
      </x:c>
      <x:c r="C16" s="47" t="str">
        <x:v>VL</x:v>
      </x:c>
      <x:c r="D16" s="47" t="str">
        <x:v>Reward / affordance</x:v>
      </x:c>
      <x:c r="E16" s="47" t="str">
        <x:v>P024</x:v>
      </x:c>
      <x:c r="F16" s="50" t="n">
        <x:v>544</x:v>
      </x:c>
      <x:c r="G16" s="50" t="str">
        <x:v>P019</x:v>
      </x:c>
      <x:c r="H16" s="50" t="n">
        <x:v>827</x:v>
      </x:c>
      <x:c r="I16" s="51" t="n">
        <x:v>671.7588853152595</x:v>
      </x:c>
      <x:c r="J16" s="47" t="str">
        <x:v>Both</x:v>
      </x:c>
      <x:c r="K16" s="47"/>
      <x:c r="L16" s="53" t="n">
        <x:v>10</x:v>
      </x:c>
      <x:c r="M16" s="47" t="str">
        <x:v>GR-2: A Generative Video-Language-Action Model with Web-Scale Knowledge for Robot Manipulation</x:v>
      </x:c>
      <x:c r="N16" s="50" t="n">
        <x:v>2024</x:v>
      </x:c>
      <x:c r="O16" s="47" t="str">
        <x:v>G3</x:v>
      </x:c>
      <x:c r="P16" s="47" t="str">
        <x:v>Direct policy</x:v>
      </x:c>
      <x:c r="Q16" s="51" t="n">
        <x:v>294</x:v>
      </x:c>
      <x:c r="R16" s="51" t="n">
        <x:v>98</x:v>
      </x:c>
      <x:c r="S16" s="50" t="n">
        <x:v>26</x:v>
      </x:c>
    </x:row>
    <x:row r="17">
      <x:c r="A17" s="50" t="n">
        <x:v>11</x:v>
      </x:c>
      <x:c r="B17" s="47" t="str">
        <x:v>Sherry Yang</x:v>
      </x:c>
      <x:c r="C17" s="47" t="str">
        <x:v>G1</x:v>
      </x:c>
      <x:c r="D17" s="47" t="str">
        <x:v>Planning</x:v>
      </x:c>
      <x:c r="E17" s="47" t="str">
        <x:v>P011</x:v>
      </x:c>
      <x:c r="F17" s="50" t="n">
        <x:v>659</x:v>
      </x:c>
      <x:c r="G17" s="50" t="str">
        <x:v>P011</x:v>
      </x:c>
      <x:c r="H17" s="50" t="n">
        <x:v>659</x:v>
      </x:c>
      <x:c r="I17" s="51" t="n">
        <x:v>660</x:v>
      </x:c>
      <x:c r="J17" s="47" t="str">
        <x:v>Both</x:v>
      </x:c>
      <x:c r="K17" s="47"/>
      <x:c r="L17" s="50" t="n">
        <x:v>11</x:v>
      </x:c>
      <x:c r="M17" s="47" t="str">
        <x:v>WHIRL: Human-to-Robot Imitation in the Wild</x:v>
      </x:c>
      <x:c r="N17" s="50" t="n">
        <x:v>2022</x:v>
      </x:c>
      <x:c r="O17" s="47" t="str">
        <x:v>U2</x:v>
      </x:c>
      <x:c r="P17" s="47" t="str">
        <x:v>Direct policy</x:v>
      </x:c>
      <x:c r="Q17" s="51" t="n">
        <x:v>251</x:v>
      </x:c>
      <x:c r="R17" s="51" t="n">
        <x:v>50.2</x:v>
      </x:c>
      <x:c r="S17" s="50" t="n">
        <x:v>27</x:v>
      </x:c>
    </x:row>
    <x:row r="18">
      <x:c r="A18" s="50" t="n">
        <x:v>12</x:v>
      </x:c>
      <x:c r="B18" s="47" t="str">
        <x:v>Adrien Bardes</x:v>
      </x:c>
      <x:c r="C18" s="47" t="str">
        <x:v>U3</x:v>
      </x:c>
      <x:c r="D18" s="47" t="str">
        <x:v>Planning</x:v>
      </x:c>
      <x:c r="E18" s="47" t="str">
        <x:v>P003</x:v>
      </x:c>
      <x:c r="F18" s="50" t="n">
        <x:v>554</x:v>
      </x:c>
      <x:c r="G18" s="50" t="str">
        <x:v>P004</x:v>
      </x:c>
      <x:c r="H18" s="50" t="n">
        <x:v>693</x:v>
      </x:c>
      <x:c r="I18" s="51" t="n">
        <x:v>620.6206570845028</x:v>
      </x:c>
      <x:c r="J18" s="47" t="str">
        <x:v>Both</x:v>
      </x:c>
      <x:c r="K18" s="47"/>
      <x:c r="L18" s="50" t="n">
        <x:v>12</x:v>
      </x:c>
      <x:c r="M18" s="47" t="str">
        <x:v>RoboDreamer: Learning Compositional World Models for Robot Imagination</x:v>
      </x:c>
      <x:c r="N18" s="50" t="n">
        <x:v>2024</x:v>
      </x:c>
      <x:c r="O18" s="47" t="str">
        <x:v>G2</x:v>
      </x:c>
      <x:c r="P18" s="47" t="str">
        <x:v>Planning</x:v>
      </x:c>
      <x:c r="Q18" s="51" t="n">
        <x:v>211</x:v>
      </x:c>
      <x:c r="R18" s="51" t="n">
        <x:v>70.33333333333333</x:v>
      </x:c>
      <x:c r="S18" s="50" t="n">
        <x:v>28</x:v>
      </x:c>
    </x:row>
    <x:row r="19">
      <x:c r="A19" s="50" t="n">
        <x:v>13</x:v>
      </x:c>
      <x:c r="B19" s="47" t="str">
        <x:v>Mahmoud Assran</x:v>
      </x:c>
      <x:c r="C19" s="47" t="str">
        <x:v>U3</x:v>
      </x:c>
      <x:c r="D19" s="47" t="str">
        <x:v>Planning</x:v>
      </x:c>
      <x:c r="E19" s="47" t="str">
        <x:v>P003</x:v>
      </x:c>
      <x:c r="F19" s="50" t="n">
        <x:v>554</x:v>
      </x:c>
      <x:c r="G19" s="50" t="str">
        <x:v>P004</x:v>
      </x:c>
      <x:c r="H19" s="50" t="n">
        <x:v>693</x:v>
      </x:c>
      <x:c r="I19" s="51" t="n">
        <x:v>620.6206570845028</x:v>
      </x:c>
      <x:c r="J19" s="47" t="str">
        <x:v>Both</x:v>
      </x:c>
      <x:c r="K19" s="47"/>
      <x:c r="L19" s="50" t="n">
        <x:v>13</x:v>
      </x:c>
      <x:c r="M19" s="47" t="str">
        <x:v>Cosmos Policy: Fine-Tuning Video Models for Visuomotor Control and Planning</x:v>
      </x:c>
      <x:c r="N19" s="50" t="n">
        <x:v>2026</x:v>
      </x:c>
      <x:c r="O19" s="47" t="str">
        <x:v>G3</x:v>
      </x:c>
      <x:c r="P19" s="47" t="str">
        <x:v>Direct policy</x:v>
      </x:c>
      <x:c r="Q19" s="51" t="n">
        <x:v>193</x:v>
      </x:c>
      <x:c r="R19" s="51" t="n">
        <x:v>193</x:v>
      </x:c>
      <x:c r="S19" s="50" t="n">
        <x:v>29</x:v>
      </x:c>
    </x:row>
    <x:row r="20">
      <x:c r="A20" s="50" t="n">
        <x:v>14</x:v>
      </x:c>
      <x:c r="B20" s="47" t="str">
        <x:v>Nicolas Ballas</x:v>
      </x:c>
      <x:c r="C20" s="47" t="str">
        <x:v>U3</x:v>
      </x:c>
      <x:c r="D20" s="47" t="str">
        <x:v>Planning</x:v>
      </x:c>
      <x:c r="E20" s="47" t="str">
        <x:v>P003</x:v>
      </x:c>
      <x:c r="F20" s="50" t="n">
        <x:v>554</x:v>
      </x:c>
      <x:c r="G20" s="50" t="str">
        <x:v>P004</x:v>
      </x:c>
      <x:c r="H20" s="50" t="n">
        <x:v>693</x:v>
      </x:c>
      <x:c r="I20" s="51" t="n">
        <x:v>620.6206570845028</x:v>
      </x:c>
      <x:c r="J20" s="47" t="str">
        <x:v>Both</x:v>
      </x:c>
      <x:c r="K20" s="47"/>
      <x:c r="L20" s="50" t="n">
        <x:v>14</x:v>
      </x:c>
      <x:c r="M20" s="47" t="str">
        <x:v>Magma: A Foundation Model for Multimodal AI Agents</x:v>
      </x:c>
      <x:c r="N20" s="50" t="n">
        <x:v>2025</x:v>
      </x:c>
      <x:c r="O20" s="47" t="str">
        <x:v>VL</x:v>
      </x:c>
      <x:c r="P20" s="47" t="str">
        <x:v>Direct policy</x:v>
      </x:c>
      <x:c r="Q20" s="51" t="n">
        <x:v>189</x:v>
      </x:c>
      <x:c r="R20" s="51" t="n">
        <x:v>94.5</x:v>
      </x:c>
      <x:c r="S20" s="50" t="n">
        <x:v>30</x:v>
      </x:c>
    </x:row>
    <x:row r="21">
      <x:c r="A21" s="50" t="n">
        <x:v>15</x:v>
      </x:c>
      <x:c r="B21" s="47" t="str">
        <x:v>Quentin Garrido</x:v>
      </x:c>
      <x:c r="C21" s="47" t="str">
        <x:v>U3</x:v>
      </x:c>
      <x:c r="D21" s="47" t="str">
        <x:v>Planning</x:v>
      </x:c>
      <x:c r="E21" s="47" t="str">
        <x:v>P003</x:v>
      </x:c>
      <x:c r="F21" s="50" t="n">
        <x:v>554</x:v>
      </x:c>
      <x:c r="G21" s="50" t="str">
        <x:v>P004</x:v>
      </x:c>
      <x:c r="H21" s="50" t="n">
        <x:v>693</x:v>
      </x:c>
      <x:c r="I21" s="51" t="n">
        <x:v>620.6206570845028</x:v>
      </x:c>
      <x:c r="J21" s="47" t="str">
        <x:v>Both</x:v>
      </x:c>
      <x:c r="K21" s="47"/>
      <x:c r="L21" s="50" t="n">
        <x:v>15</x:v>
      </x:c>
      <x:c r="M21" s="47" t="str">
        <x:v>iVideoGPT: Interactive VideoGPTs are Scalable World Models</x:v>
      </x:c>
      <x:c r="N21" s="50" t="n">
        <x:v>2024</x:v>
      </x:c>
      <x:c r="O21" s="47" t="str">
        <x:v>G2</x:v>
      </x:c>
      <x:c r="P21" s="47" t="str">
        <x:v>Planning</x:v>
      </x:c>
      <x:c r="Q21" s="51" t="n">
        <x:v>181</x:v>
      </x:c>
      <x:c r="R21" s="51" t="n">
        <x:v>60.333333333333336</x:v>
      </x:c>
      <x:c r="S21" s="50" t="n">
        <x:v>32</x:v>
      </x:c>
    </x:row>
  </x:sheetData>
  <x:mergeCells>
    <x:mergeCell ref="A1:J2"/>
    <x:mergeCell ref="A4:J4"/>
    <x:mergeCell ref="L4:S4"/>
  </x:mergeCells>
  <x:pageMargins left="0.7" right="0.7" top="0.75" bottom="0.75" header="0.3" footer="0.3"/>
</x:worksheet>
</file>