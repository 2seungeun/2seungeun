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772b40b6fee474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ADME_Method" sheetId="1" r:id="Rfafdc1d82d9a4115"/>
    <x:sheet xmlns:r="http://schemas.openxmlformats.org/officeDocument/2006/relationships" name="Taxonomy" sheetId="2" r:id="R3f4e1ade273d4524"/>
    <x:sheet xmlns:r="http://schemas.openxmlformats.org/officeDocument/2006/relationships" name="Papers" sheetId="3" r:id="R48968dc1a6cf4bf9"/>
    <x:sheet xmlns:r="http://schemas.openxmlformats.org/officeDocument/2006/relationships" name="Researchers" sheetId="4" r:id="R5f30fdb061604d66"/>
    <x:sheet xmlns:r="http://schemas.openxmlformats.org/officeDocument/2006/relationships" name="Architecture_Matrix" sheetId="5" r:id="Ree4cfeae9316496e"/>
    <x:sheet xmlns:r="http://schemas.openxmlformats.org/officeDocument/2006/relationships" name="Transition_Matrix" sheetId="6" r:id="R97161d55068749d3"/>
    <x:sheet xmlns:r="http://schemas.openxmlformats.org/officeDocument/2006/relationships" name="Dashboard" sheetId="7" r:id="Rf732c25c2b484e88"/>
    <x:sheet xmlns:r="http://schemas.openxmlformats.org/officeDocument/2006/relationships" name="Audit_Log" sheetId="8" r:id="R7cfe380a4be24bc0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#,##0.0"/>
    <x:numFmt numFmtId="201" formatCode="0"/>
    <x:numFmt numFmtId="202" formatCode="0.0%"/>
  </x:numFmts>
  <x:fonts count="8">
    <x:font>
      <x:sz val="11"/>
      <x:name val="Carlito"/>
    </x:font>
    <x:font>
      <x:b/>
      <x:sz val="16"/>
      <x:color rgb="FFFFFFFF"/>
      <x:name val="Carlito"/>
    </x:font>
    <x:font>
      <x:sz val="10"/>
      <x:color rgb="FF243442"/>
      <x:name val="Carlito"/>
    </x:font>
    <x:font>
      <x:b/>
      <x:sz val="10"/>
      <x:color rgb="FFFFFFFF"/>
      <x:name val="Carlito"/>
    </x:font>
    <x:font>
      <x:b/>
      <x:sz val="11"/>
      <x:color rgb="FFFFFFFF"/>
      <x:name val="Carlito"/>
    </x:font>
    <x:font>
      <x:b/>
      <x:sz val="15"/>
      <x:color rgb="FFFFFFFF"/>
      <x:name val="Carlito"/>
    </x:font>
    <x:font>
      <x:sz val="10"/>
      <x:color rgb="FF19324D"/>
      <x:name val="Carlito"/>
    </x:font>
    <x:font>
      <x:sz val="10"/>
      <x:color rgb="FF19324D"/>
      <x:name val="Carlito"/>
    </x:font>
  </x:fonts>
  <x:fills count="10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2D6F9F"/>
      </x:patternFill>
    </x:fill>
    <x:fill>
      <x:patternFill patternType="solid">
        <x:fgColor rgb="FF19324D"/>
      </x:patternFill>
    </x:fill>
    <x:fill>
      <x:patternFill patternType="solid">
        <x:fgColor rgb="FF3378A8"/>
      </x:patternFill>
    </x:fill>
    <x:fill>
      <x:patternFill patternType="solid">
        <x:fgColor rgb="FFFFFFFF"/>
      </x:patternFill>
    </x:fill>
    <x:fill>
      <x:patternFill patternType="solid">
        <x:fgColor rgb="FF19324D"/>
      </x:patternFill>
    </x:fill>
    <x:fill>
      <x:patternFill patternType="solid">
        <x:fgColor rgb="FF3378A8"/>
      </x:patternFill>
    </x:fill>
    <x:fill>
      <x:patternFill patternType="solid">
        <x:fgColor rgb="FFFFFFFF"/>
      </x:patternFill>
    </x:fill>
  </x:fills>
  <x:borders count="4">
    <x:border/>
    <x:border>
      <x:left style="thin">
        <x:color rgb="FFC8D6E0"/>
      </x:left>
      <x:top style="thin">
        <x:color rgb="FFC8D6E0"/>
      </x:top>
      <x:bottom style="thin">
        <x:color rgb="FFC8D6E0"/>
      </x:bottom>
    </x:border>
    <x:border>
      <x:right style="thin">
        <x:color rgb="FFC8D6E0"/>
      </x:right>
      <x:top style="thin">
        <x:color rgb="FFC8D6E0"/>
      </x:top>
      <x:bottom style="thin">
        <x:color rgb="FFC8D6E0"/>
      </x:bottom>
    </x:border>
    <x:border>
      <x:top style="thin">
        <x:color rgb="FFC8D6E0"/>
      </x:top>
      <x:bottom style="thin">
        <x:color rgb="FFC8D6E0"/>
      </x:bottom>
    </x:border>
  </x:borders>
  <x:cellStyleXfs count="1">
    <x:xf numFmtId="0" fontId="0" fillId="0" borderId="0"/>
  </x:cellStyleXfs>
  <x:cellXfs count="65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/>
    <x:xf numFmtId="0" fontId="2" fillId="0" borderId="0" xfId="0" applyNumberFormat="1" applyFont="1" applyFill="1" applyBorder="1" applyAlignment="1">
      <x:alignment wrapText="1"/>
    </x:xf>
    <x:xf numFmtId="0" fontId="2" fillId="0" borderId="0" xfId="0" applyNumberFormat="1" applyFont="1" applyFill="1" applyBorder="1" applyAlignment="1">
      <x:alignment vertical="top" wrapText="1"/>
    </x:xf>
    <x:xf numFmtId="0" fontId="2" fillId="3" borderId="0" xfId="0" applyNumberFormat="1" applyFont="1" applyFill="1" applyBorder="1" applyAlignment="1">
      <x:alignment vertical="top" wrapText="1"/>
    </x:xf>
    <x:xf numFmtId="0" fontId="3" fillId="3" borderId="0" xfId="0" applyNumberFormat="1" applyFont="1" applyFill="1" applyBorder="1" applyAlignment="1">
      <x:alignment vertical="top" wrapText="1"/>
    </x:xf>
    <x:xf numFmtId="0" fontId="3" fillId="3" borderId="1" xfId="0" applyNumberFormat="1" applyFont="1" applyFill="1" applyBorder="1" applyAlignment="1">
      <x:alignment vertical="top" wrapText="1"/>
    </x:xf>
    <x:xf numFmtId="0" fontId="3" fillId="3" borderId="2" xfId="0" applyNumberFormat="1" applyFont="1" applyFill="1" applyBorder="1" applyAlignment="1">
      <x:alignment vertical="top" wrapText="1"/>
    </x:xf>
    <x:xf numFmtId="0" fontId="3" fillId="3" borderId="1" xfId="0" applyNumberFormat="1" applyFont="1" applyFill="1" applyBorder="1" applyAlignment="1">
      <x:alignment vertical="center" wrapText="1"/>
    </x:xf>
    <x:xf numFmtId="0" fontId="3" fillId="3" borderId="2" xfId="0" applyNumberFormat="1" applyFont="1" applyFill="1" applyBorder="1" applyAlignment="1">
      <x:alignment vertical="center" wrapText="1"/>
    </x:xf>
    <x:xf numFmtId="0" fontId="3" fillId="3" borderId="3" xfId="0" applyNumberFormat="1" applyFont="1" applyFill="1" applyBorder="1" applyAlignment="1">
      <x:alignment vertical="top" wrapText="1"/>
    </x:xf>
    <x:xf numFmtId="0" fontId="3" fillId="3" borderId="3" xfId="0" applyNumberFormat="1" applyFont="1" applyFill="1" applyBorder="1" applyAlignment="1">
      <x:alignment vertical="center" wrapText="1"/>
    </x:xf>
    <x:xf numFmtId="200" fontId="2" fillId="0" borderId="0" xfId="0" applyNumberFormat="1" applyFont="1" applyFill="1" applyBorder="1" applyAlignment="1">
      <x:alignment vertical="top" wrapText="1"/>
    </x:xf>
    <x:xf numFmtId="201" fontId="3" fillId="3" borderId="3" xfId="0" applyNumberFormat="1" applyFont="1" applyFill="1" applyBorder="1" applyAlignment="1">
      <x:alignment vertical="center" wrapText="1"/>
    </x:xf>
    <x:xf numFmtId="201" fontId="2" fillId="0" borderId="0" xfId="0" applyNumberFormat="1" applyFont="1" applyFill="1" applyBorder="1" applyAlignment="1">
      <x:alignment vertical="top" wrapText="1"/>
    </x:xf>
    <x:xf numFmtId="201" fontId="0" fillId="0" borderId="0" xfId="0" applyNumberFormat="1" applyFont="1" applyFill="1" applyBorder="1"/>
    <x:xf numFmtId="201" fontId="1" fillId="2" borderId="0" xfId="0" applyNumberFormat="1" applyFont="1" applyFill="1" applyBorder="1" applyAlignment="1">
      <x:alignment vertical="center"/>
    </x:xf>
    <x:xf numFmtId="201" fontId="3" fillId="3" borderId="2" xfId="0" applyNumberFormat="1" applyFont="1" applyFill="1" applyBorder="1" applyAlignment="1">
      <x:alignment vertical="center" wrapText="1"/>
    </x:xf>
    <x:xf numFmtId="202" fontId="2" fillId="0" borderId="0" xfId="0" applyNumberFormat="1" applyFont="1" applyFill="1" applyBorder="1" applyAlignment="1">
      <x:alignment vertical="top" wrapText="1"/>
    </x:xf>
    <x:xf numFmtId="0" fontId="0" fillId="3" borderId="0" xfId="0" applyNumberFormat="1" applyFont="1" applyFill="1" applyBorder="1"/>
    <x:xf numFmtId="0" fontId="4" fillId="3" borderId="0" xfId="0" applyNumberFormat="1" applyFont="1" applyFill="1" applyBorder="1"/>
    <x:xf numFmtId="0" fontId="4" fillId="3" borderId="1" xfId="0" applyNumberFormat="1" applyFont="1" applyFill="1" applyBorder="1"/>
    <x:xf numFmtId="0" fontId="4" fillId="3" borderId="3" xfId="0" applyNumberFormat="1" applyFont="1" applyFill="1" applyBorder="1"/>
    <x:xf numFmtId="0" fontId="4" fillId="3" borderId="2" xfId="0" applyNumberFormat="1" applyFont="1" applyFill="1" applyBorder="1"/>
    <x:xf numFmtId="0" fontId="4" fillId="3" borderId="1" xfId="0" applyNumberFormat="1" applyFont="1" applyFill="1" applyBorder="1" applyAlignment="1">
      <x:alignment wrapText="1"/>
    </x:xf>
    <x:xf numFmtId="0" fontId="4" fillId="3" borderId="3" xfId="0" applyNumberFormat="1" applyFont="1" applyFill="1" applyBorder="1" applyAlignment="1">
      <x:alignment wrapText="1"/>
    </x:xf>
    <x:xf numFmtId="0" fontId="4" fillId="3" borderId="2" xfId="0" applyNumberFormat="1" applyFont="1" applyFill="1" applyBorder="1" applyAlignment="1">
      <x:alignment wrapText="1"/>
    </x:xf>
    <x:xf numFmtId="0" fontId="4" fillId="3" borderId="1" xfId="0" applyNumberFormat="1" applyFont="1" applyFill="1" applyBorder="1" applyAlignment="1">
      <x:alignment vertical="center" wrapText="1"/>
    </x:xf>
    <x:xf numFmtId="0" fontId="4" fillId="3" borderId="3" xfId="0" applyNumberFormat="1" applyFont="1" applyFill="1" applyBorder="1" applyAlignment="1">
      <x:alignment vertical="center" wrapText="1"/>
    </x:xf>
    <x:xf numFmtId="0" fontId="4" fillId="3" borderId="2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201" fontId="0" fillId="4" borderId="0" xfId="0" applyNumberFormat="1" applyFont="1" applyFill="1" applyBorder="1"/>
    <x:xf numFmtId="0" fontId="5" fillId="4" borderId="0" xfId="0" applyNumberFormat="1" applyFont="1" applyFill="1" applyBorder="1"/>
    <x:xf numFmtId="201" fontId="5" fillId="4" borderId="0" xfId="0" applyNumberFormat="1" applyFont="1" applyFill="1" applyBorder="1"/>
    <x:xf numFmtId="0" fontId="0" fillId="5" borderId="0" xfId="0" applyNumberFormat="1" applyFont="1" applyFill="1" applyBorder="1"/>
    <x:xf numFmtId="201" fontId="0" fillId="5" borderId="0" xfId="0" applyNumberFormat="1" applyFont="1" applyFill="1" applyBorder="1"/>
    <x:xf numFmtId="0" fontId="4" fillId="5" borderId="0" xfId="0" applyNumberFormat="1" applyFont="1" applyFill="1" applyBorder="1"/>
    <x:xf numFmtId="201" fontId="4" fillId="5" borderId="0" xfId="0" applyNumberFormat="1" applyFont="1" applyFill="1" applyBorder="1"/>
    <x:xf numFmtId="0" fontId="3" fillId="6" borderId="1" xfId="0" applyNumberFormat="1" applyFont="1" applyFill="1" applyBorder="1" applyAlignment="1">
      <x:alignment vertical="center" wrapText="1"/>
    </x:xf>
    <x:xf numFmtId="201" fontId="3" fillId="6" borderId="3" xfId="0" applyNumberFormat="1" applyFont="1" applyFill="1" applyBorder="1" applyAlignment="1">
      <x:alignment vertical="center" wrapText="1"/>
    </x:xf>
    <x:xf numFmtId="201" fontId="3" fillId="6" borderId="2" xfId="0" applyNumberFormat="1" applyFont="1" applyFill="1" applyBorder="1" applyAlignment="1">
      <x:alignment vertical="center" wrapText="1"/>
    </x:xf>
    <x:xf numFmtId="0" fontId="2" fillId="6" borderId="0" xfId="0" applyNumberFormat="1" applyFont="1" applyFill="1" applyBorder="1" applyAlignment="1">
      <x:alignment vertical="top" wrapText="1"/>
    </x:xf>
    <x:xf numFmtId="201" fontId="2" fillId="6" borderId="0" xfId="0" applyNumberFormat="1" applyFont="1" applyFill="1" applyBorder="1" applyAlignment="1">
      <x:alignment vertical="top" wrapText="1"/>
    </x:xf>
    <x:xf numFmtId="0" fontId="6" fillId="6" borderId="1" xfId="0" applyNumberFormat="1" applyFont="1" applyFill="1" applyBorder="1" applyAlignment="1">
      <x:alignment vertical="center" wrapText="1"/>
    </x:xf>
    <x:xf numFmtId="201" fontId="6" fillId="6" borderId="3" xfId="0" applyNumberFormat="1" applyFont="1" applyFill="1" applyBorder="1" applyAlignment="1">
      <x:alignment vertical="center" wrapText="1"/>
    </x:xf>
    <x:xf numFmtId="201" fontId="6" fillId="6" borderId="2" xfId="0" applyNumberFormat="1" applyFont="1" applyFill="1" applyBorder="1" applyAlignment="1">
      <x:alignment vertical="center" wrapText="1"/>
    </x:xf>
    <x:xf numFmtId="0" fontId="6" fillId="6" borderId="0" xfId="0" applyNumberFormat="1" applyFont="1" applyFill="1" applyBorder="1" applyAlignment="1">
      <x:alignment vertical="top" wrapText="1"/>
    </x:xf>
    <x:xf numFmtId="201" fontId="6" fillId="6" borderId="0" xfId="0" applyNumberFormat="1" applyFont="1" applyFill="1" applyBorder="1" applyAlignment="1">
      <x:alignment vertical="top" wrapText="1"/>
    </x:xf>
    <x:xf numFmtId="0" fontId="5" fillId="7" borderId="0" xfId="0" applyNumberFormat="1" applyFont="1" applyFill="1" applyBorder="1"/>
    <x:xf numFmtId="201" fontId="5" fillId="7" borderId="0" xfId="0" applyNumberFormat="1" applyFont="1" applyFill="1" applyBorder="1"/>
    <x:xf numFmtId="0" fontId="4" fillId="8" borderId="0" xfId="0" applyNumberFormat="1" applyFont="1" applyFill="1" applyBorder="1"/>
    <x:xf numFmtId="201" fontId="4" fillId="8" borderId="0" xfId="0" applyNumberFormat="1" applyFont="1" applyFill="1" applyBorder="1"/>
    <x:xf numFmtId="0" fontId="6" fillId="9" borderId="1" xfId="0" applyNumberFormat="1" applyFont="1" applyFill="1" applyBorder="1" applyAlignment="1">
      <x:alignment vertical="center" wrapText="1"/>
    </x:xf>
    <x:xf numFmtId="201" fontId="6" fillId="9" borderId="3" xfId="0" applyNumberFormat="1" applyFont="1" applyFill="1" applyBorder="1" applyAlignment="1">
      <x:alignment vertical="center" wrapText="1"/>
    </x:xf>
    <x:xf numFmtId="201" fontId="6" fillId="9" borderId="2" xfId="0" applyNumberFormat="1" applyFont="1" applyFill="1" applyBorder="1" applyAlignment="1">
      <x:alignment vertical="center" wrapText="1"/>
    </x:xf>
    <x:xf numFmtId="0" fontId="6" fillId="9" borderId="0" xfId="0" applyNumberFormat="1" applyFont="1" applyFill="1" applyBorder="1" applyAlignment="1">
      <x:alignment vertical="top" wrapText="1"/>
    </x:xf>
    <x:xf numFmtId="201" fontId="6" fillId="9" borderId="0" xfId="0" applyNumberFormat="1" applyFont="1" applyFill="1" applyBorder="1" applyAlignment="1">
      <x:alignment vertical="top" wrapText="1"/>
    </x:xf>
    <x:xf numFmtId="0" fontId="7" fillId="9" borderId="1" xfId="0" applyNumberFormat="1" applyFont="1" applyFill="1" applyBorder="1" applyAlignment="1">
      <x:alignment vertical="center" wrapText="1"/>
    </x:xf>
    <x:xf numFmtId="201" fontId="7" fillId="9" borderId="3" xfId="0" applyNumberFormat="1" applyFont="1" applyFill="1" applyBorder="1" applyAlignment="1">
      <x:alignment vertical="center" wrapText="1"/>
    </x:xf>
    <x:xf numFmtId="201" fontId="7" fillId="9" borderId="2" xfId="0" applyNumberFormat="1" applyFont="1" applyFill="1" applyBorder="1" applyAlignment="1">
      <x:alignment vertical="center" wrapText="1"/>
    </x:xf>
    <x:xf numFmtId="0" fontId="7" fillId="9" borderId="0" xfId="0" applyNumberFormat="1" applyFont="1" applyFill="1" applyBorder="1" applyAlignment="1">
      <x:alignment vertical="top" wrapText="1"/>
    </x:xf>
    <x:xf numFmtId="201" fontId="7" fillId="9" borderId="0" xfId="0" applyNumberFormat="1" applyFont="1" applyFill="1" applyBorder="1" applyAlignment="1">
      <x:alignment vertical="top" wrapText="1"/>
    </x:xf>
  </x:cellXfs>
  <x:cellStyles count="1">
    <x:cellStyle name="Normal" xfId="0"/>
  </x:cellStyles>
  <x:dxfs count="2">
    <x:dxf>
      <x:fill>
        <x:patternFill>
          <x:bgColor rgb="FFDDF3E4"/>
        </x:patternFill>
      </x:fill>
    </x:dxf>
    <x:dxf>
      <x:fill>
        <x:patternFill>
          <x:bgColor rgb="FFDDF3E4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f3753f7bb5c4b76" /><Relationship Type="http://schemas.openxmlformats.org/officeDocument/2006/relationships/theme" Target="/xl/theme/theme1.xml" Id="R3557d177f3d449d7" /><Relationship Type="http://schemas.openxmlformats.org/officeDocument/2006/relationships/sharedStrings" Target="/xl/sharedStrings.xml" Id="R4bc30b7140934036" /><Relationship Type="http://schemas.openxmlformats.org/officeDocument/2006/relationships/worksheet" Target="/xl/worksheets/sheet1.xml" Id="Rfafdc1d82d9a4115" /><Relationship Type="http://schemas.openxmlformats.org/officeDocument/2006/relationships/worksheet" Target="/xl/worksheets/sheet2.xml" Id="R3f4e1ade273d4524" /><Relationship Type="http://schemas.openxmlformats.org/officeDocument/2006/relationships/worksheet" Target="/xl/worksheets/sheet3.xml" Id="R48968dc1a6cf4bf9" /><Relationship Type="http://schemas.openxmlformats.org/officeDocument/2006/relationships/worksheet" Target="/xl/worksheets/sheet4.xml" Id="R5f30fdb061604d66" /><Relationship Type="http://schemas.openxmlformats.org/officeDocument/2006/relationships/worksheet" Target="/xl/worksheets/sheet5.xml" Id="Ree4cfeae9316496e" /><Relationship Type="http://schemas.openxmlformats.org/officeDocument/2006/relationships/worksheet" Target="/xl/worksheets/sheet6.xml" Id="R97161d55068749d3" /><Relationship Type="http://schemas.openxmlformats.org/officeDocument/2006/relationships/worksheet" Target="/xl/worksheets/sheet7.xml" Id="Rf732c25c2b484e88" /><Relationship Type="http://schemas.openxmlformats.org/officeDocument/2006/relationships/worksheet" Target="/xl/worksheets/sheet8.xml" Id="R7cfe380a4be24bc0" /></Relationships>
</file>

<file path=xl/tables/table1.xml><?xml version="1.0" encoding="utf-8"?>
<x:table xmlns:x="http://schemas.openxmlformats.org/spreadsheetml/2006/main" id="1" name="PapersTable" displayName="PapersTable" ref="A1:W67" headerRowCount="1" totalsRowCount="0" totalsRowShown="0">
  <x:tableColumns count="23">
    <x:tableColumn id="1" name="Bridge_citation_rank"/>
    <x:tableColumn id="2" name="Overall_citation_rank"/>
    <x:tableColumn id="3" name="Paper_ID"/>
    <x:tableColumn id="4" name="Title"/>
    <x:tableColumn id="5" name="Year"/>
    <x:tableColumn id="6" name="Paper_domain"/>
    <x:tableColumn id="7" name="Video_bridge_mechanism"/>
    <x:tableColumn id="8" name="Focal_output_code"/>
    <x:tableColumn id="9" name="Artifact_type"/>
    <x:tableColumn id="10" name="Output_space"/>
    <x:tableColumn id="11" name="Robot_role"/>
    <x:tableColumn id="12" name="Impact_tier"/>
    <x:tableColumn id="13" name="Bridge_flag"/>
    <x:tableColumn id="14" name="Region_cluster"/>
    <x:tableColumn id="15" name="Key_authors"/>
    <x:tableColumn id="16" name="Source_URL"/>
    <x:tableColumn id="17" name="Why_it_matters"/>
    <x:tableColumn id="18" name="Citation_count_observed"/>
    <x:tableColumn id="19" name="Citations_per_year"/>
    <x:tableColumn id="20" name="Citation_basis"/>
    <x:tableColumn id="21" name="Citation_source_URL"/>
    <x:tableColumn id="22" name="Citation_as_of"/>
    <x:tableColumn id="23" name="Classification_note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ResearchersTable" displayName="ResearchersTable" ref="A1:AE53" headerRowCount="1" totalsRowCount="0" totalsRowShown="0">
  <x:tableColumns count="31">
    <x:tableColumn id="1" name="Impact_rank"/>
    <x:tableColumn id="2" name="Researcher_ID"/>
    <x:tableColumn id="3" name="Name"/>
    <x:tableColumn id="4" name="Region_cluster"/>
    <x:tableColumn id="5" name="Evidence_organization"/>
    <x:tableColumn id="6" name="Origin_architecture"/>
    <x:tableColumn id="7" name="Robot_primary_role"/>
    <x:tableColumn id="8" name="Transition_type"/>
    <x:tableColumn id="9" name="G_score_0_3"/>
    <x:tableColumn id="10" name="U_score_0_3"/>
    <x:tableColumn id="11" name="Robotics_score_0_3"/>
    <x:tableColumn id="12" name="Video_important"/>
    <x:tableColumn id="13" name="Robotics_important"/>
    <x:tableColumn id="14" name="Important_both"/>
    <x:tableColumn id="15" name="Key_video_paper"/>
    <x:tableColumn id="16" name="Key_robotics_paper"/>
    <x:tableColumn id="17" name="Evidence_strength"/>
    <x:tableColumn id="18" name="Interpretation_note"/>
    <x:tableColumn id="19" name="Profile_URL"/>
    <x:tableColumn id="20" name="Video_evidence_URL"/>
    <x:tableColumn id="21" name="Robotics_evidence_URL"/>
    <x:tableColumn id="22" name="Representative_video_Paper_ID"/>
    <x:tableColumn id="23" name="Video_citations"/>
    <x:tableColumn id="24" name="Representative_robotics_Paper_ID"/>
    <x:tableColumn id="25" name="Robotics_citations"/>
    <x:tableColumn id="26" name="Bridge_impact_score"/>
    <x:tableColumn id="27" name="Citation_coverage"/>
    <x:tableColumn id="28" name="Citation_as_of"/>
    <x:tableColumn id="29" name="Representative_video_mechanism"/>
    <x:tableColumn id="30" name="Representative_robot_output_description"/>
    <x:tableColumn id="31" name="Audit_statu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1.xml" Id="R427aca364b2e48bf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2.xml" Id="R95436ef363d64c93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100" hidden="0" customWidth="1"/>
  </x:cols>
  <x:sheetData>
    <x:row r="1">
      <x:c r="A1" s="3" t="str">
        <x:v>Video → Robotics Researcher and Paper Audit</x:v>
      </x:c>
      <x:c r="B1" s="3"/>
    </x:row>
    <x:row r="4">
      <x:c r="A4" s="11" t="str">
        <x:v>Item</x:v>
      </x:c>
      <x:c r="B4" s="12" t="str">
        <x:v>Definition</x:v>
      </x:c>
    </x:row>
    <x:row r="5">
      <x:c r="A5" s="6" t="str">
        <x:v>Purpose</x:v>
      </x:c>
      <x:c r="B5" s="6" t="str">
        <x:v>Audited researcher-, paper-, and architecture-level map of the video-to-robotics research bridge</x:v>
      </x:c>
    </x:row>
    <x:row r="6">
      <x:c r="A6" s="6" t="str">
        <x:v>As of</x:v>
      </x:c>
      <x:c r="B6" s="6" t="str">
        <x:v>2026-09-02 citation snapshot; citations use OpenAlex cited_by_count and are source-specific</x:v>
      </x:c>
    </x:row>
    <x:row r="7">
      <x:c r="A7" s="6" t="str">
        <x:v>Sample</x:v>
      </x:c>
      <x:c r="B7" s="6" t="str">
        <x:v>52 researchers and 66 papers in separate, non-1:1 tables; 31 direct bridge, 22 adjacent/context, 13 one-side reference papers</x:v>
      </x:c>
    </x:row>
    <x:row r="8">
      <x:c r="A8" s="6" t="str">
        <x:v>Unified chart axis</x:v>
      </x:c>
      <x:c r="B8" s="6" t="str">
        <x:v>Video_bridge_mechanism is the only architecture code used in mappings; it records what came from video and maps directly to Robot_role. Model output is descriptive metadata only</x:v>
      </x:c>
    </x:row>
    <x:row r="9">
      <x:c r="A9" s="6" t="str">
        <x:v>Direct bridge rule</x:v>
      </x:c>
      <x:c r="B9" s="6" t="str">
        <x:v>Yes requires paper-level use of video generation/prediction/temporal representation in a robot or physical-control setting</x:v>
      </x:c>
    </x:row>
    <x:row r="10">
      <x:c r="A10" s="6" t="str">
        <x:v>Adjacent rule</x:v>
      </x:c>
      <x:c r="B10" s="6" t="str">
        <x:v>Embodied simulation, image-only generation, VLA baselines, or robotics papers without a verified video-specific transfer</x:v>
      </x:c>
    </x:row>
    <x:row r="11">
      <x:c r="A11" s="6" t="str">
        <x:v>Citation coverage</x:v>
      </x:c>
      <x:c r="B11" s="6" t="str">
        <x:v>Scores require two distinct selected papers, both with citation counts. Single-paper bridges remain documented but are not part of the distinct-paper ranking</x:v>
      </x:c>
    </x:row>
    <x:row r="12">
      <x:c r="A12" s="6" t="str">
        <x:v>Bridge Impact</x:v>
      </x:c>
      <x:c r="B12" s="6" t="str">
        <x:v>Geometric mean of citations to distinct representative video and robotics papers; High ×1.0, Medium ×0.8</x:v>
      </x:c>
    </x:row>
    <x:row r="13">
      <x:c r="A13" s="6" t="str">
        <x:v>Evidence strength</x:v>
      </x:c>
      <x:c r="B13" s="6" t="str">
        <x:v>High = direct verified authorship/project evidence on both sides; Medium = one link is team-level, indirect, recent, or incompletely verified</x:v>
      </x:c>
    </x:row>
    <x:row r="14">
      <x:c r="A14" s="6" t="str">
        <x:v>Important limitation</x:v>
      </x:c>
      <x:c r="B14" s="6" t="str">
        <x:v>This is a purposive sample and a selection-aware bridge ranking, not a field-wide or career-impact ranking</x:v>
      </x:c>
    </x:row>
    <x:row r="15">
      <x:c r="A15" s="6" t="str">
        <x:v>Audit correction</x:v>
      </x:c>
      <x:c r="B15" s="6" t="str">
        <x:v>Dream2Flow is G1; PointWorld is G2; CALVIN is a benchmark; four robotics-centered comparison cases were excluded from the core researcher sample; Genie remains context</x:v>
      </x:c>
    </x:row>
  </x:sheetData>
  <x:mergeCells>
    <x:mergeCell ref="A1:B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25" hidden="0" customWidth="1"/>
    <x:col min="3" max="3" width="52" hidden="0" customWidth="1"/>
    <x:col min="4" max="4" width="35" hidden="0" customWidth="1"/>
    <x:col min="5" max="5" width="32" hidden="0" customWidth="1"/>
    <x:col min="6" max="6" width="45" hidden="0" customWidth="1"/>
  </x:cols>
  <x:sheetData>
    <x:row r="1">
      <x:c r="A1" s="3" t="str">
        <x:v>Unified Video-Origin Architecture and Transition Taxonomy</x:v>
      </x:c>
      <x:c r="B1" s="3"/>
      <x:c r="C1" s="3"/>
      <x:c r="D1" s="3"/>
      <x:c r="E1" s="3"/>
      <x:c r="F1" s="3"/>
    </x:row>
    <x:row r="2">
      <x:c r="A2"/>
      <x:c r="B2"/>
      <x:c r="C2"/>
      <x:c r="D2"/>
      <x:c r="E2"/>
      <x:c r="F2"/>
    </x:row>
    <x:row r="3">
      <x:c r="A3"/>
      <x:c r="B3"/>
      <x:c r="C3"/>
      <x:c r="D3"/>
      <x:c r="E3"/>
      <x:c r="F3"/>
    </x:row>
    <x:row r="4">
      <x:c r="A4" s="11" t="str">
        <x:v>Code</x:v>
      </x:c>
      <x:c r="B4" s="14" t="str">
        <x:v>Axis</x:v>
      </x:c>
      <x:c r="C4" s="14" t="str">
        <x:v>Meaning</x:v>
      </x:c>
      <x:c r="D4" s="14" t="str">
        <x:v>Examples</x:v>
      </x:c>
      <x:c r="E4" s="14" t="str">
        <x:v>Robotics use</x:v>
      </x:c>
      <x:c r="F4" s="12" t="str">
        <x:v>Boundary</x:v>
      </x:c>
    </x:row>
    <x:row r="5">
      <x:c r="A5" s="6" t="str">
        <x:v>G1</x:v>
      </x:c>
      <x:c r="B5" s="6" t="str">
        <x:v>Unified video-origin code</x:v>
      </x:c>
      <x:c r="C5" s="6" t="str">
        <x:v>Generates image/video pixels or tokens without robot action as a central input</x:v>
      </x:c>
      <x:c r="D5" s="6" t="str">
        <x:v>WALT, UniPi, Dream2Flow</x:v>
      </x:c>
      <x:c r="E5" s="6" t="str">
        <x:v>visual plan, subgoal, synthetic data</x:v>
      </x:c>
      <x:c r="F5" s="6" t="str">
        <x:v>Motion or language prompts alone do not make a model G2</x:v>
      </x:c>
    </x:row>
    <x:row r="6">
      <x:c r="A6" s="6" t="str">
        <x:v>G2</x:v>
      </x:c>
      <x:c r="B6" s="6" t="str">
        <x:v>Unified video-origin code</x:v>
      </x:c>
      <x:c r="C6" s="6" t="str">
        <x:v>Predicts future video/state; robot or agent action may condition the input but is not emitted</x:v>
      </x:c>
      <x:c r="D6" s="6" t="str">
        <x:v>Visual Foresight, PointWorld, GameNGen</x:v>
      </x:c>
      <x:c r="E6" s="6" t="str">
        <x:v>world simulation, planning</x:v>
      </x:c>
      <x:c r="F6" s="6" t="str">
        <x:v>Game papers remain context unless robotics transfer is shown</x:v>
      </x:c>
    </x:row>
    <x:row r="7">
      <x:c r="A7" s="6" t="str">
        <x:v>G3</x:v>
      </x:c>
      <x:c r="B7" s="6" t="str">
        <x:v>Unified video-origin code</x:v>
      </x:c>
      <x:c r="C7" s="6" t="str">
        <x:v>Jointly generates future visual/state variables and actions</x:v>
      </x:c>
      <x:c r="D7" s="6" t="str">
        <x:v>GR-2, Cosmos Policy</x:v>
      </x:c>
      <x:c r="E7" s="6" t="str">
        <x:v>direct policy</x:v>
      </x:c>
      <x:c r="F7" s="6" t="str">
        <x:v>Action-only policies are not a separate video-origin code</x:v>
      </x:c>
    </x:row>
    <x:row r="8">
      <x:c r="A8" s="6" t="str">
        <x:v>U1</x:v>
      </x:c>
      <x:c r="B8" s="6" t="str">
        <x:v>Unified video-origin code</x:v>
      </x:c>
      <x:c r="C8" s="6" t="str">
        <x:v>Learns semantic, action, or event understanding from video</x:v>
      </x:c>
      <x:c r="D8" s="6" t="str">
        <x:v>SlowFast</x:v>
      </x:c>
      <x:c r="E8" s="6" t="str">
        <x:v>perception</x:v>
      </x:c>
      <x:c r="F8" s="6" t="str">
        <x:v>Understanding rather than generation</x:v>
      </x:c>
    </x:row>
    <x:row r="9">
      <x:c r="A9" s="6" t="str">
        <x:v>U2</x:v>
      </x:c>
      <x:c r="B9" s="6" t="str">
        <x:v>Unified video-origin code</x:v>
      </x:c>
      <x:c r="C9" s="6" t="str">
        <x:v>Learns motion, tracking, interaction, or affordance from video</x:v>
      </x:c>
      <x:c r="D9" s="6" t="str">
        <x:v>CoTracker, FlowNet, Track2Act</x:v>
      </x:c>
      <x:c r="E9" s="6" t="str">
        <x:v>perception, reward, policy condition</x:v>
      </x:c>
      <x:c r="F9" s="6" t="str">
        <x:v>The downstream robot may still output actions</x:v>
      </x:c>
    </x:row>
    <x:row r="10">
      <x:c r="A10" s="6" t="str">
        <x:v>U3</x:v>
      </x:c>
      <x:c r="B10" s="6" t="str">
        <x:v>Unified video-origin code</x:v>
      </x:c>
      <x:c r="C10" s="6" t="str">
        <x:v>Predicts future or masked latent representations</x:v>
      </x:c>
      <x:c r="D10" s="6" t="str">
        <x:v>V-JEPA 2</x:v>
      </x:c>
      <x:c r="E10" s="6" t="str">
        <x:v>latent planning</x:v>
      </x:c>
      <x:c r="F10" s="6" t="str">
        <x:v>Predicts embeddings rather than pixels</x:v>
      </x:c>
    </x:row>
    <x:row r="11">
      <x:c r="A11" s="6" t="str">
        <x:v>VL</x:v>
      </x:c>
      <x:c r="B11" s="6" t="str">
        <x:v>Unified video-origin code</x:v>
      </x:c>
      <x:c r="C11" s="6" t="str">
        <x:v>Aligns temporal video information with language or reasons over both</x:v>
      </x:c>
      <x:c r="D11" s="6" t="str">
        <x:v>MineDojo, LIV, Magma</x:v>
      </x:c>
      <x:c r="E11" s="6" t="str">
        <x:v>reward, reasoning, conditioning</x:v>
      </x:c>
      <x:c r="F11" s="6" t="str">
        <x:v>Do not use VL merely because a robot policy accepts language</x:v>
      </x:c>
    </x:row>
    <x:row r="12">
      <x:c r="A12" s="6"/>
      <x:c r="B12" s="6"/>
      <x:c r="C12" s="6"/>
      <x:c r="D12" s="6"/>
      <x:c r="E12" s="6"/>
      <x:c r="F12" s="6"/>
    </x:row>
    <x:row r="13">
      <x:c r="A13" s="6" t="str">
        <x:v>Transition type</x:v>
      </x:c>
      <x:c r="B13" s="6" t="str">
        <x:v>Rule</x:v>
      </x:c>
      <x:c r="C13" s="6" t="str">
        <x:v>Meaning</x:v>
      </x:c>
      <x:c r="D13" s="6" t="str">
        <x:v>Use</x:v>
      </x:c>
      <x:c r="E13" s="6"/>
      <x:c r="F13" s="6"/>
    </x:row>
    <x:row r="14">
      <x:c r="A14" s="6" t="str">
        <x:v>Switcher</x:v>
      </x:c>
      <x:c r="B14" s="6" t="str">
        <x:v>Organization or primary topic clearly moved video → robotics/world models</x:v>
      </x:c>
      <x:c r="C14" s="6" t="str">
        <x:v>strong migration</x:v>
      </x:c>
      <x:c r="D14" s="6" t="str">
        <x:v>strict transition count</x:v>
      </x:c>
      <x:c r="E14" s="6"/>
      <x:c r="F14" s="6"/>
    </x:row>
    <x:row r="15">
      <x:c r="A15" s="11" t="str">
        <x:v>Bridger</x:v>
      </x:c>
      <x:c r="B15" s="14" t="str">
        <x:v>Verified important work on both sides or explicit transfer across papers</x:v>
      </x:c>
      <x:c r="C15" s="14" t="str">
        <x:v>core bridge</x:v>
      </x:c>
      <x:c r="D15" s="14" t="str">
        <x:v>bridge-talent count</x:v>
      </x:c>
      <x:c r="E15" s="14"/>
      <x:c r="F15" s="12"/>
    </x:row>
    <x:row r="16">
      <x:c r="A16" s="6" t="str">
        <x:v>Native hybrid</x:v>
      </x:c>
      <x:c r="B16" s="6" t="str">
        <x:v>Video and robotics pursued together from an early stage</x:v>
      </x:c>
      <x:c r="C16" s="6" t="str">
        <x:v>fusion rather than migration</x:v>
      </x:c>
      <x:c r="D16" s="6" t="str">
        <x:v>ecosystem count</x:v>
      </x:c>
      <x:c r="E16" s="6"/>
      <x:c r="F16" s="6"/>
    </x:row>
    <x:row r="17">
      <x:c r="A17"/>
      <x:c r="B17"/>
      <x:c r="C17"/>
      <x:c r="D17"/>
      <x:c r="E17"/>
      <x:c r="F17"/>
    </x:row>
    <x:row r="18">
      <x:c r="A18"/>
      <x:c r="B18"/>
      <x:c r="C18"/>
      <x:c r="D18"/>
      <x:c r="E18"/>
      <x:c r="F18"/>
    </x:row>
    <x:row r="19">
      <x:c r="A19"/>
      <x:c r="B19"/>
      <x:c r="C19"/>
      <x:c r="D19"/>
      <x:c r="E19"/>
      <x:c r="F19"/>
    </x:row>
    <x:row r="20">
      <x:c r="A20"/>
      <x:c r="B20"/>
      <x:c r="C20"/>
      <x:c r="D20"/>
      <x:c r="E20"/>
      <x:c r="F20"/>
    </x:row>
    <x:row r="21">
      <x:c r="A21"/>
      <x:c r="B21"/>
      <x:c r="C21"/>
      <x:c r="D21"/>
      <x:c r="E21"/>
      <x:c r="F21"/>
    </x:row>
  </x:sheetData>
  <x:mergeCells>
    <x:mergeCell ref="A1:F1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6" hidden="0" customWidth="1"/>
    <x:col min="3" max="3" width="10" hidden="0" customWidth="1"/>
    <x:col min="4" max="4" width="58" hidden="0" customWidth="1"/>
    <x:col min="5" max="5" width="9" hidden="0" customWidth="1"/>
    <x:col min="6" max="6" width="16" hidden="0" customWidth="1"/>
    <x:col min="7" max="7" width="24" hidden="0" customWidth="1"/>
    <x:col min="8" max="8" width="18" hidden="0" customWidth="1"/>
    <x:col min="9" max="9" width="18" hidden="0" customWidth="1"/>
    <x:col min="10" max="10" width="36" hidden="0" customWidth="1"/>
    <x:col min="11" max="11" width="22" hidden="0" customWidth="1"/>
    <x:col min="12" max="12" width="13" hidden="0" customWidth="1"/>
    <x:col min="13" max="13" width="13" hidden="0" customWidth="1"/>
    <x:col min="14" max="14" width="14" hidden="0" customWidth="1"/>
    <x:col min="15" max="15" width="52" hidden="0" customWidth="1"/>
    <x:col min="16" max="16" width="46" hidden="0" customWidth="1"/>
    <x:col min="17" max="17" width="60" hidden="0" customWidth="1"/>
    <x:col min="18" max="18" width="18" hidden="0" customWidth="1"/>
    <x:col min="19" max="19" width="18" hidden="0" customWidth="1"/>
    <x:col min="20" max="20" width="58" hidden="0" customWidth="1"/>
    <x:col min="21" max="21" width="46" hidden="0" customWidth="1"/>
    <x:col min="22" max="22" width="14" hidden="0" customWidth="1"/>
    <x:col min="23" max="23" width="65" hidden="0" customWidth="1"/>
  </x:cols>
  <x:sheetData>
    <x:row r="1">
      <x:c r="A1" s="11" t="str">
        <x:v>Bridge_citation_rank</x:v>
      </x:c>
      <x:c r="B1" s="14" t="str">
        <x:v>Overall_citation_rank</x:v>
      </x:c>
      <x:c r="C1" s="14" t="str">
        <x:v>Paper_ID</x:v>
      </x:c>
      <x:c r="D1" s="14" t="str">
        <x:v>Title</x:v>
      </x:c>
      <x:c r="E1" s="16" t="str">
        <x:v>Year</x:v>
      </x:c>
      <x:c r="F1" s="14" t="str">
        <x:v>Paper_domain</x:v>
      </x:c>
      <x:c r="G1" s="14" t="str">
        <x:v>Video_bridge_mechanism</x:v>
      </x:c>
      <x:c r="H1" s="14" t="str">
        <x:v>Model_output_description</x:v>
      </x:c>
      <x:c r="I1" s="14" t="str">
        <x:v>Artifact_type</x:v>
      </x:c>
      <x:c r="J1" s="14" t="str">
        <x:v>Output_space</x:v>
      </x:c>
      <x:c r="K1" s="14" t="str">
        <x:v>Robot_role</x:v>
      </x:c>
      <x:c r="L1" s="14" t="str">
        <x:v>Impact_tier</x:v>
      </x:c>
      <x:c r="M1" s="14" t="str">
        <x:v>Bridge_flag</x:v>
      </x:c>
      <x:c r="N1" s="14" t="str">
        <x:v>Region_cluster</x:v>
      </x:c>
      <x:c r="O1" s="14" t="str">
        <x:v>Key_authors</x:v>
      </x:c>
      <x:c r="P1" s="14" t="str">
        <x:v>Source_URL</x:v>
      </x:c>
      <x:c r="Q1" s="14" t="str">
        <x:v>Why_it_matters</x:v>
      </x:c>
      <x:c r="R1" s="14" t="str">
        <x:v>Citation_count_observed</x:v>
      </x:c>
      <x:c r="S1" s="14" t="str">
        <x:v>Citations_per_year</x:v>
      </x:c>
      <x:c r="T1" s="14" t="str">
        <x:v>Citation_basis</x:v>
      </x:c>
      <x:c r="U1" s="14" t="str">
        <x:v>Citation_source_URL</x:v>
      </x:c>
      <x:c r="V1" s="14" t="str">
        <x:v>Citation_as_of</x:v>
      </x:c>
      <x:c r="W1" s="12" t="str">
        <x:v>Classification_note</x:v>
      </x:c>
    </x:row>
    <x:row r="2">
      <x:c r="A2" s="6" t="n">
        <x:f>IF(M2="Yes",1+COUNTIFS($M$2:$M$67,"Yes",$R$2:$R$67,"&gt;"&amp;R2),"")</x:f>
        <x:v>1</x:v>
      </x:c>
      <x:c r="B2" s="6" t="n">
        <x:f>IF(R2="","",1+COUNTIF($R$2:$R$67,"&gt;"&amp;R2))</x:f>
        <x:v>3</x:v>
      </x:c>
      <x:c r="C2" s="6" t="str">
        <x:v>P009</x:v>
      </x:c>
      <x:c r="D2" s="6" t="str">
        <x:v>Deep Visual Foresight for Planning Robot Motion</x:v>
      </x:c>
      <x:c r="E2" s="6" t="n">
        <x:v>2016</x:v>
      </x:c>
      <x:c r="F2" s="6" t="str">
        <x:v>Bridge</x:v>
      </x:c>
      <x:c r="G2" s="6" t="str">
        <x:v>G2</x:v>
      </x:c>
      <x:c r="H2" s="6" t="str">
        <x:v>Predicted future video/state</x:v>
      </x:c>
      <x:c r="I2" s="6" t="str">
        <x:v>Model</x:v>
      </x:c>
      <x:c r="J2" s="6" t="str">
        <x:v>Action-conditioned future pixels</x:v>
      </x:c>
      <x:c r="K2" s="6" t="str">
        <x:v>Planning</x:v>
      </x:c>
      <x:c r="L2" s="6" t="str">
        <x:v>Landmark</x:v>
      </x:c>
      <x:c r="M2" s="6" t="str">
        <x:v>Yes</x:v>
      </x:c>
      <x:c r="N2" s="6" t="str">
        <x:v>US</x:v>
      </x:c>
      <x:c r="O2" s="6" t="str">
        <x:v>Chelsea Finn; Ian Goodfellow; Sergey Levine</x:v>
      </x:c>
      <x:c r="P2" s="6" t="str">
        <x:v>https://arxiv.org/abs/1610.00696</x:v>
      </x:c>
      <x:c r="Q2" s="6" t="str">
        <x:v>Foundational action-conditioned video prediction for robot control</x:v>
      </x:c>
      <x:c r="R2" s="15" t="n">
        <x:v>627</x:v>
      </x:c>
      <x:c r="S2" s="15" t="n">
        <x:f>IF(R2="","",R2/MAX(1,2026-E2+1))</x:f>
        <x:v>57</x:v>
      </x:c>
      <x:c r="T2" s="6" t="str">
        <x:v>OpenAlex cited_by_count; title/DOI matched; conference version preferred when indexed</x:v>
      </x:c>
      <x:c r="U2" s="6" t="str">
        <x:v>https://openalex.org/W2528489519</x:v>
      </x:c>
      <x:c r="V2" s="6" t="str">
        <x:v>2026-09-02</x:v>
      </x:c>
      <x:c r="W2" s="6" t="str"/>
    </x:row>
    <x:row r="3">
      <x:c r="A3" s="6" t="n">
        <x:f>IF(M3="Yes",1+COUNTIFS($M$2:$M$67,"Yes",$R$2:$R$67,"&gt;"&amp;R3),"")</x:f>
        <x:v>2</x:v>
      </x:c>
      <x:c r="B3" s="6" t="n">
        <x:f>IF(R3="","",1+COUNTIF($R$2:$R$67,"&gt;"&amp;R3))</x:f>
        <x:v>4</x:v>
      </x:c>
      <x:c r="C3" s="6" t="str">
        <x:v>P035</x:v>
      </x:c>
      <x:c r="D3" s="6" t="str">
        <x:v>Time-Contrastive Networks: Self-Supervised Learning from Video</x:v>
      </x:c>
      <x:c r="E3" s="6" t="n">
        <x:v>2017</x:v>
      </x:c>
      <x:c r="F3" s="6" t="str">
        <x:v>Bridge</x:v>
      </x:c>
      <x:c r="G3" s="6" t="str">
        <x:v>U2</x:v>
      </x:c>
      <x:c r="H3" s="6" t="str">
        <x:v>Representation/reward/value</x:v>
      </x:c>
      <x:c r="I3" s="6" t="str">
        <x:v>Model</x:v>
      </x:c>
      <x:c r="J3" s="6" t="str">
        <x:v>Embedding</x:v>
      </x:c>
      <x:c r="K3" s="6" t="str">
        <x:v>Reward / affordance</x:v>
      </x:c>
      <x:c r="L3" s="6" t="str">
        <x:v>Landmark</x:v>
      </x:c>
      <x:c r="M3" s="6" t="str">
        <x:v>Yes</x:v>
      </x:c>
      <x:c r="N3" s="6" t="str">
        <x:v>US</x:v>
      </x:c>
      <x:c r="O3" s="6" t="str">
        <x:v>Pierre Sermanet; Corey Lynch; Yevgen Chebotar; Jasmine Hsu; Eric Jang; Stefan Schaal; Sergey Levine</x:v>
      </x:c>
      <x:c r="P3" s="6" t="str">
        <x:v>https://arxiv.org/abs/1704.06888</x:v>
      </x:c>
      <x:c r="Q3" s="6" t="str">
        <x:v>Video embeddings transferred across demonstrations and robots</x:v>
      </x:c>
      <x:c r="R3" s="15" t="n">
        <x:v>559</x:v>
      </x:c>
      <x:c r="S3" s="15" t="n">
        <x:f>IF(R3="","",R3/MAX(1,2026-E3+1))</x:f>
        <x:v>55.9</x:v>
      </x:c>
      <x:c r="T3" s="6" t="str">
        <x:v>OpenAlex cited_by_count; title/DOI matched; conference version preferred when indexed</x:v>
      </x:c>
      <x:c r="U3" s="6" t="str">
        <x:v>https://openalex.org/W2769112066</x:v>
      </x:c>
      <x:c r="V3" s="6" t="str">
        <x:v>2026-09-02</x:v>
      </x:c>
      <x:c r="W3" s="6" t="str"/>
    </x:row>
    <x:row r="4">
      <x:c r="A4" s="6" t="n">
        <x:f>IF(M4="Yes",1+COUNTIFS($M$2:$M$67,"Yes",$R$2:$R$67,"&gt;"&amp;R4),"")</x:f>
        <x:v>3</x:v>
      </x:c>
      <x:c r="B4" s="6" t="n">
        <x:f>IF(R4="","",1+COUNTIF($R$2:$R$67,"&gt;"&amp;R4))</x:f>
        <x:v>9</x:v>
      </x:c>
      <x:c r="C4" s="6" t="str">
        <x:v>P056</x:v>
      </x:c>
      <x:c r="D4" s="6" t="str">
        <x:v>Visual Foresight: Model-Based Deep Reinforcement Learning for Vision-Based Robotic Control</x:v>
      </x:c>
      <x:c r="E4" s="6" t="n">
        <x:v>2018</x:v>
      </x:c>
      <x:c r="F4" s="6" t="str">
        <x:v>Bridge</x:v>
      </x:c>
      <x:c r="G4" s="6" t="str">
        <x:v>G2</x:v>
      </x:c>
      <x:c r="H4" s="6" t="str">
        <x:v>Predicted future video/state</x:v>
      </x:c>
      <x:c r="I4" s="6" t="str">
        <x:v>Model</x:v>
      </x:c>
      <x:c r="J4" s="6" t="str">
        <x:v>Action-conditioned future video</x:v>
      </x:c>
      <x:c r="K4" s="6" t="str">
        <x:v>Planning</x:v>
      </x:c>
      <x:c r="L4" s="6" t="str">
        <x:v>Landmark</x:v>
      </x:c>
      <x:c r="M4" s="6" t="str">
        <x:v>Yes</x:v>
      </x:c>
      <x:c r="N4" s="6" t="str">
        <x:v>US</x:v>
      </x:c>
      <x:c r="O4" s="6" t="str">
        <x:v>Frederik Ebert; Chelsea Finn; Sudeep Dasari; Annie Xie; Alex X. Lee; Sergey Levine</x:v>
      </x:c>
      <x:c r="P4" s="6" t="str">
        <x:v>https://arxiv.org/abs/1812.00568</x:v>
      </x:c>
      <x:c r="Q4" s="6" t="str">
        <x:v>A verified video-prediction and visual-planning paper for the Berkeley visual-foresight lineage</x:v>
      </x:c>
      <x:c r="R4" s="15" t="n">
        <x:v>264</x:v>
      </x:c>
      <x:c r="S4" s="15" t="n">
        <x:f>IF(R4="","",R4/MAX(1,2026-E4+1))</x:f>
        <x:v>29.333333333333332</x:v>
      </x:c>
      <x:c r="T4" s="6" t="str">
        <x:v>OpenAlex cited_by_count; title/DOI matched; conference version preferred when indexed</x:v>
      </x:c>
      <x:c r="U4" s="6" t="str">
        <x:v>https://openalex.org/W2902125520</x:v>
      </x:c>
      <x:c r="V4" s="6" t="str">
        <x:v>2026-09-02</x:v>
      </x:c>
      <x:c r="W4" s="6" t="str"/>
    </x:row>
    <x:row r="5">
      <x:c r="A5" s="6" t="n">
        <x:f>IF(M5="Yes",1+COUNTIFS($M$2:$M$67,"Yes",$R$2:$R$67,"&gt;"&amp;R5),"")</x:f>
        <x:v>4</x:v>
      </x:c>
      <x:c r="B5" s="6" t="n">
        <x:f>IF(R5="","",1+COUNTIF($R$2:$R$67,"&gt;"&amp;R5))</x:f>
        <x:v>11</x:v>
      </x:c>
      <x:c r="C5" s="6" t="str">
        <x:v>P036</x:v>
      </x:c>
      <x:c r="D5" s="6" t="str">
        <x:v>WHIRL: Human-to-Robot Imitation in the Wild</x:v>
      </x:c>
      <x:c r="E5" s="6" t="n">
        <x:v>2022</x:v>
      </x:c>
      <x:c r="F5" s="6" t="str">
        <x:v>Bridge</x:v>
      </x:c>
      <x:c r="G5" s="6" t="str">
        <x:v>U2</x:v>
      </x:c>
      <x:c r="H5" s="6" t="str">
        <x:v>Action trajectory/tokens</x:v>
      </x:c>
      <x:c r="I5" s="6" t="str">
        <x:v>Model</x:v>
      </x:c>
      <x:c r="J5" s="6" t="str">
        <x:v>Human motion / action</x:v>
      </x:c>
      <x:c r="K5" s="6" t="str">
        <x:v>Direct policy</x:v>
      </x:c>
      <x:c r="L5" s="6" t="str">
        <x:v>Major</x:v>
      </x:c>
      <x:c r="M5" s="6" t="str">
        <x:v>Yes</x:v>
      </x:c>
      <x:c r="N5" s="6" t="str">
        <x:v>US</x:v>
      </x:c>
      <x:c r="O5" s="6" t="str">
        <x:v>Shikhar Bahl; Russell Mendonca; Lili Chen; Unnat Jain; Deepak Pathak</x:v>
      </x:c>
      <x:c r="P5" s="6" t="str">
        <x:v>https://arxiv.org/abs/2207.09450</x:v>
      </x:c>
      <x:c r="Q5" s="6" t="str">
        <x:v>In-the-wild human video to robot behavior</x:v>
      </x:c>
      <x:c r="R5" s="15" t="n">
        <x:v>83</x:v>
      </x:c>
      <x:c r="S5" s="15" t="n">
        <x:f>IF(R5="","",R5/MAX(1,2026-E5+1))</x:f>
        <x:v>16.6</x:v>
      </x:c>
      <x:c r="T5" s="6" t="str">
        <x:v>OpenAlex cited_by_count; title/DOI matched; conference version preferred when indexed</x:v>
      </x:c>
      <x:c r="U5" s="6" t="str">
        <x:v>https://openalex.org/W4283788863</x:v>
      </x:c>
      <x:c r="V5" s="6" t="str">
        <x:v>2026-09-02</x:v>
      </x:c>
      <x:c r="W5" s="6" t="str"/>
    </x:row>
    <x:row r="6">
      <x:c r="A6" s="6" t="n">
        <x:f>IF(M6="Yes",1+COUNTIFS($M$2:$M$67,"Yes",$R$2:$R$67,"&gt;"&amp;R6),"")</x:f>
        <x:v>5</x:v>
      </x:c>
      <x:c r="B6" s="6" t="n">
        <x:f>IF(R6="","",1+COUNTIF($R$2:$R$67,"&gt;"&amp;R6))</x:f>
        <x:v>12</x:v>
      </x:c>
      <x:c r="C6" s="6" t="str">
        <x:v>P066</x:v>
      </x:c>
      <x:c r="D6" s="6" t="str">
        <x:v>R3M: A Universal Visual Representation for Robot Manipulation</x:v>
      </x:c>
      <x:c r="E6" s="6" t="n">
        <x:v>2022</x:v>
      </x:c>
      <x:c r="F6" s="6" t="str">
        <x:v>Bridge</x:v>
      </x:c>
      <x:c r="G6" s="6" t="str">
        <x:v>VL</x:v>
      </x:c>
      <x:c r="H6" s="6" t="str">
        <x:v>Representation/reward/value</x:v>
      </x:c>
      <x:c r="I6" s="6" t="str">
        <x:v>Model</x:v>
      </x:c>
      <x:c r="J6" s="6" t="str">
        <x:v>Frozen video-language visual representation</x:v>
      </x:c>
      <x:c r="K6" s="6" t="str">
        <x:v>Perception backbone</x:v>
      </x:c>
      <x:c r="L6" s="6" t="str">
        <x:v>Landmark</x:v>
      </x:c>
      <x:c r="M6" s="6" t="str">
        <x:v>Yes</x:v>
      </x:c>
      <x:c r="N6" s="6" t="str">
        <x:v>US</x:v>
      </x:c>
      <x:c r="O6" s="6" t="str">
        <x:v>Suraj Nair; Aravind Rajeswaran; Vikash Kumar; Chelsea Finn; Abhinav Gupta</x:v>
      </x:c>
      <x:c r="P6" s="6" t="str">
        <x:v>https://arxiv.org/abs/2203.12601</x:v>
      </x:c>
      <x:c r="Q6" s="6" t="str">
        <x:v>Pretrains on Ego4D human video with temporal and video-language objectives, then transfers the representation to robot manipulation</x:v>
      </x:c>
      <x:c r="R6" s="15" t="n">
        <x:v>82</x:v>
      </x:c>
      <x:c r="S6" s="15" t="n">
        <x:f>IF(R6="","",R6/MAX(1,2026-E6+1))</x:f>
        <x:v>16.4</x:v>
      </x:c>
      <x:c r="T6" s="6" t="str">
        <x:v>OpenAlex cited_by_count; title/DOI matched; conference version preferred when indexed</x:v>
      </x:c>
      <x:c r="U6" s="6" t="str">
        <x:v>https://openalex.org/W4221159977</x:v>
      </x:c>
      <x:c r="V6" s="6" t="str">
        <x:v>2026-09-02</x:v>
      </x:c>
      <x:c r="W6" s="6" t="str"/>
    </x:row>
    <x:row r="7">
      <x:c r="A7" s="6" t="n">
        <x:f>IF(M7="Yes",1+COUNTIFS($M$2:$M$67,"Yes",$R$2:$R$67,"&gt;"&amp;R7),"")</x:f>
        <x:v>6</x:v>
      </x:c>
      <x:c r="B7" s="6" t="n">
        <x:f>IF(R7="","",1+COUNTIF($R$2:$R$67,"&gt;"&amp;R7))</x:f>
        <x:v>17</x:v>
      </x:c>
      <x:c r="C7" s="6" t="str">
        <x:v>P064</x:v>
      </x:c>
      <x:c r="D7" s="6" t="str">
        <x:v>Track2Act: Predicting Point Tracks from Internet Videos enables Generalizable Robot Manipulation</x:v>
      </x:c>
      <x:c r="E7" s="6" t="n">
        <x:v>2024</x:v>
      </x:c>
      <x:c r="F7" s="6" t="str">
        <x:v>Bridge</x:v>
      </x:c>
      <x:c r="G7" s="6" t="str">
        <x:v>U2</x:v>
      </x:c>
      <x:c r="H7" s="6" t="str">
        <x:v>Action trajectory/tokens</x:v>
      </x:c>
      <x:c r="I7" s="6" t="str">
        <x:v>Model</x:v>
      </x:c>
      <x:c r="J7" s="6" t="str">
        <x:v>Future point tracks and robot actions</x:v>
      </x:c>
      <x:c r="K7" s="6" t="str">
        <x:v>Direct policy</x:v>
      </x:c>
      <x:c r="L7" s="6" t="str">
        <x:v>Major</x:v>
      </x:c>
      <x:c r="M7" s="6" t="str">
        <x:v>Yes</x:v>
      </x:c>
      <x:c r="N7" s="6" t="str">
        <x:v>US</x:v>
      </x:c>
      <x:c r="O7" s="6" t="str">
        <x:v>Homanga Bharadhwaj; Roozbeh Mottaghi; Abhinav Gupta; Shubham Tulsiani</x:v>
      </x:c>
      <x:c r="P7" s="6" t="str">
        <x:v>https://arxiv.org/abs/2405.01527</x:v>
      </x:c>
      <x:c r="Q7" s="6" t="str">
        <x:v>Turns point-track prediction learned from web videos into executable robot manipulation plans</x:v>
      </x:c>
      <x:c r="R7" s="15" t="n">
        <x:v>37</x:v>
      </x:c>
      <x:c r="S7" s="15" t="n">
        <x:f>IF(R7="","",R7/MAX(1,2026-E7+1))</x:f>
        <x:v>12.333333333333334</x:v>
      </x:c>
      <x:c r="T7" s="6" t="str">
        <x:v>OpenAlex cited_by_count; title/DOI matched; conference version preferred when indexed</x:v>
      </x:c>
      <x:c r="U7" s="6" t="str">
        <x:v>https://openalex.org/W4403888324</x:v>
      </x:c>
      <x:c r="V7" s="6" t="str">
        <x:v>2026-09-02</x:v>
      </x:c>
      <x:c r="W7" s="6" t="str"/>
    </x:row>
    <x:row r="8">
      <x:c r="A8" s="6" t="n">
        <x:f>IF(M8="Yes",1+COUNTIFS($M$2:$M$67,"Yes",$R$2:$R$67,"&gt;"&amp;R8),"")</x:f>
        <x:v>7</x:v>
      </x:c>
      <x:c r="B8" s="6" t="n">
        <x:f>IF(R8="","",1+COUNTIF($R$2:$R$67,"&gt;"&amp;R8))</x:f>
        <x:v>18</x:v>
      </x:c>
      <x:c r="C8" s="6" t="str">
        <x:v>P011</x:v>
      </x:c>
      <x:c r="D8" s="6" t="str">
        <x:v>UniPi: Learning Universal Policies via Text-Guided Video Generation</x:v>
      </x:c>
      <x:c r="E8" s="6" t="n">
        <x:v>2023</x:v>
      </x:c>
      <x:c r="F8" s="6" t="str">
        <x:v>Bridge</x:v>
      </x:c>
      <x:c r="G8" s="6" t="str">
        <x:v>G1</x:v>
      </x:c>
      <x:c r="H8" s="6" t="str">
        <x:v>Generated image/video</x:v>
      </x:c>
      <x:c r="I8" s="6" t="str">
        <x:v>Model</x:v>
      </x:c>
      <x:c r="J8" s="6" t="str">
        <x:v>Generated video plan</x:v>
      </x:c>
      <x:c r="K8" s="6" t="str">
        <x:v>Planning</x:v>
      </x:c>
      <x:c r="L8" s="6" t="str">
        <x:v>Major</x:v>
      </x:c>
      <x:c r="M8" s="6" t="str">
        <x:v>Yes</x:v>
      </x:c>
      <x:c r="N8" s="6" t="str">
        <x:v>US</x:v>
      </x:c>
      <x:c r="O8" s="6" t="str">
        <x:v>Yilun Du; Mengjiao Yang; Bo Dai; Hanjun Dai; Ofir Nachum; Joshua B. Tenenbaum; Dale Schuurmans; Pieter Abbeel</x:v>
      </x:c>
      <x:c r="P8" s="6" t="str">
        <x:v>https://arxiv.org/abs/2302.00111</x:v>
      </x:c>
      <x:c r="Q8" s="6" t="str">
        <x:v>Uses generated video as universal policy representation</x:v>
      </x:c>
      <x:c r="R8" s="15" t="n">
        <x:v>29</x:v>
      </x:c>
      <x:c r="S8" s="15" t="n">
        <x:f>IF(R8="","",R8/MAX(1,2026-E8+1))</x:f>
        <x:v>7.25</x:v>
      </x:c>
      <x:c r="T8" s="6" t="str">
        <x:v>OpenAlex cited_by_count; title/DOI matched; conference version preferred when indexed</x:v>
      </x:c>
      <x:c r="U8" s="6" t="str">
        <x:v>https://openalex.org/W4319165322</x:v>
      </x:c>
      <x:c r="V8" s="6" t="str">
        <x:v>2026-09-02</x:v>
      </x:c>
      <x:c r="W8" s="6" t="str"/>
    </x:row>
    <x:row r="9">
      <x:c r="A9" s="6" t="n">
        <x:f>IF(M9="Yes",1+COUNTIFS($M$2:$M$67,"Yes",$R$2:$R$67,"&gt;"&amp;R9),"")</x:f>
        <x:v>8</x:v>
      </x:c>
      <x:c r="B9" s="6" t="n">
        <x:f>IF(R9="","",1+COUNTIF($R$2:$R$67,"&gt;"&amp;R9))</x:f>
        <x:v>21</x:v>
      </x:c>
      <x:c r="C9" s="6" t="str">
        <x:v>P061</x:v>
      </x:c>
      <x:c r="D9" s="6" t="str">
        <x:v>LIV: Language-Image Representations and Rewards for Robotic Control</x:v>
      </x:c>
      <x:c r="E9" s="6" t="n">
        <x:v>2023</x:v>
      </x:c>
      <x:c r="F9" s="6" t="str">
        <x:v>Bridge</x:v>
      </x:c>
      <x:c r="G9" s="6" t="str">
        <x:v>VL</x:v>
      </x:c>
      <x:c r="H9" s="6" t="str">
        <x:v>Representation/reward/value</x:v>
      </x:c>
      <x:c r="I9" s="6" t="str">
        <x:v>Model</x:v>
      </x:c>
      <x:c r="J9" s="6" t="str">
        <x:v>Representation and dense reward</x:v>
      </x:c>
      <x:c r="K9" s="6" t="str">
        <x:v>Reward / affordance</x:v>
      </x:c>
      <x:c r="L9" s="6" t="str">
        <x:v>Landmark</x:v>
      </x:c>
      <x:c r="M9" s="6" t="str">
        <x:v>Yes</x:v>
      </x:c>
      <x:c r="N9" s="6" t="str">
        <x:v>US</x:v>
      </x:c>
      <x:c r="O9" s="6" t="str">
        <x:v>Yecheng Jason Ma; William Liang; Vaidehi Som; Vikash Kumar; Amy Zhang; Osbert Bastani; Dinesh Jayaraman</x:v>
      </x:c>
      <x:c r="P9" s="6" t="str">
        <x:v>https://arxiv.org/abs/2306.00958</x:v>
      </x:c>
      <x:c r="Q9" s="6" t="str">
        <x:v>Learns control-centric language-image representations and rewards from action-free human video</x:v>
      </x:c>
      <x:c r="R9" s="15" t="n">
        <x:v>24</x:v>
      </x:c>
      <x:c r="S9" s="15" t="n">
        <x:f>IF(R9="","",R9/MAX(1,2026-E9+1))</x:f>
        <x:v>6</x:v>
      </x:c>
      <x:c r="T9" s="6" t="str">
        <x:v>OpenAlex cited_by_count; title/DOI matched; conference version preferred when indexed</x:v>
      </x:c>
      <x:c r="U9" s="6" t="str">
        <x:v>https://openalex.org/W4379260839</x:v>
      </x:c>
      <x:c r="V9" s="6" t="str">
        <x:v>2026-09-02</x:v>
      </x:c>
      <x:c r="W9" s="6" t="str"/>
    </x:row>
    <x:row r="10">
      <x:c r="A10" s="6" t="n">
        <x:f>IF(M10="Yes",1+COUNTIFS($M$2:$M$67,"Yes",$R$2:$R$67,"&gt;"&amp;R10),"")</x:f>
        <x:v>8</x:v>
      </x:c>
      <x:c r="B10" s="6" t="n">
        <x:f>IF(R10="","",1+COUNTIF($R$2:$R$67,"&gt;"&amp;R10))</x:f>
        <x:v>21</x:v>
      </x:c>
      <x:c r="C10" s="6" t="str">
        <x:v>P044</x:v>
      </x:c>
      <x:c r="D10" s="6" t="str">
        <x:v>Navigation World Models</x:v>
      </x:c>
      <x:c r="E10" s="6" t="n">
        <x:v>2024</x:v>
      </x:c>
      <x:c r="F10" s="6" t="str">
        <x:v>Bridge</x:v>
      </x:c>
      <x:c r="G10" s="6" t="str">
        <x:v>G2</x:v>
      </x:c>
      <x:c r="H10" s="6" t="str">
        <x:v>Predicted future video/state</x:v>
      </x:c>
      <x:c r="I10" s="6" t="str">
        <x:v>Model</x:v>
      </x:c>
      <x:c r="J10" s="6" t="str">
        <x:v>Navigation-action-conditioned future video</x:v>
      </x:c>
      <x:c r="K10" s="6" t="str">
        <x:v>Planning</x:v>
      </x:c>
      <x:c r="L10" s="6" t="str">
        <x:v>Major</x:v>
      </x:c>
      <x:c r="M10" s="6" t="str">
        <x:v>Yes</x:v>
      </x:c>
      <x:c r="N10" s="6" t="str">
        <x:v>Mixed</x:v>
      </x:c>
      <x:c r="O10" s="6" t="str">
        <x:v>Amir Bar; Gaoyue Zhou; Danny Tran; Trevor Darrell; Yann LeCun</x:v>
      </x:c>
      <x:c r="P10" s="6" t="str">
        <x:v>https://arxiv.org/abs/2412.03572</x:v>
      </x:c>
      <x:c r="Q10" s="6" t="str">
        <x:v>Controllable video generation used to simulate and rank navigation trajectories for embodied agents</x:v>
      </x:c>
      <x:c r="R10" s="15" t="n">
        <x:v>24</x:v>
      </x:c>
      <x:c r="S10" s="15" t="n">
        <x:f>IF(R10="","",R10/MAX(1,2026-E10+1))</x:f>
        <x:v>8</x:v>
      </x:c>
      <x:c r="T10" s="6" t="str">
        <x:v>OpenAlex cited_by_count; title/DOI matched; conference version preferred when indexed</x:v>
      </x:c>
      <x:c r="U10" s="6" t="str">
        <x:v>https://openalex.org/W4413147084</x:v>
      </x:c>
      <x:c r="V10" s="6" t="str">
        <x:v>2026-09-02</x:v>
      </x:c>
      <x:c r="W10" s="6" t="str"/>
    </x:row>
    <x:row r="11">
      <x:c r="A11" s="6" t="n">
        <x:f>IF(M11="Yes",1+COUNTIFS($M$2:$M$67,"Yes",$R$2:$R$67,"&gt;"&amp;R11),"")</x:f>
        <x:v>8</x:v>
      </x:c>
      <x:c r="B11" s="6" t="n">
        <x:f>IF(R11="","",1+COUNTIF($R$2:$R$67,"&gt;"&amp;R11))</x:f>
        <x:v>21</x:v>
      </x:c>
      <x:c r="C11" s="6" t="str">
        <x:v>P021</x:v>
      </x:c>
      <x:c r="D11" s="6" t="str">
        <x:v>Vid2Robot: End-to-End Video-Conditioned Policy Learning with Cross-Attention Transformers</x:v>
      </x:c>
      <x:c r="E11" s="6" t="n">
        <x:v>2024</x:v>
      </x:c>
      <x:c r="F11" s="6" t="str">
        <x:v>Bridge</x:v>
      </x:c>
      <x:c r="G11" s="6" t="str">
        <x:v>U2</x:v>
      </x:c>
      <x:c r="H11" s="6" t="str">
        <x:v>Action trajectory/tokens</x:v>
      </x:c>
      <x:c r="I11" s="6" t="str">
        <x:v>Model</x:v>
      </x:c>
      <x:c r="J11" s="6" t="str">
        <x:v>Video-conditioned action</x:v>
      </x:c>
      <x:c r="K11" s="6" t="str">
        <x:v>Direct policy</x:v>
      </x:c>
      <x:c r="L11" s="6" t="str">
        <x:v>Major</x:v>
      </x:c>
      <x:c r="M11" s="6" t="str">
        <x:v>Yes</x:v>
      </x:c>
      <x:c r="N11" s="6" t="str">
        <x:v>Europe</x:v>
      </x:c>
      <x:c r="O11" s="6" t="str">
        <x:v>Authors per paper; DeepMind Robotics</x:v>
      </x:c>
      <x:c r="P11" s="6" t="str">
        <x:v>https://arxiv.org/abs/2403.12943</x:v>
      </x:c>
      <x:c r="Q11" s="6" t="str">
        <x:v>Directly produces robot actions from human/robot video prompts</x:v>
      </x:c>
      <x:c r="R11" s="15" t="n">
        <x:v>24</x:v>
      </x:c>
      <x:c r="S11" s="15" t="n">
        <x:f>IF(R11="","",R11/MAX(1,2026-E11+1))</x:f>
        <x:v>8</x:v>
      </x:c>
      <x:c r="T11" s="6" t="str">
        <x:v>OpenAlex cited_by_count; title/DOI matched; conference version preferred when indexed</x:v>
      </x:c>
      <x:c r="U11" s="6" t="str">
        <x:v>https://openalex.org/W4402354080</x:v>
      </x:c>
      <x:c r="V11" s="6" t="str">
        <x:v>2026-09-02</x:v>
      </x:c>
      <x:c r="W11" s="6" t="str"/>
    </x:row>
    <x:row r="12">
      <x:c r="A12" s="6" t="n">
        <x:f>IF(M12="Yes",1+COUNTIFS($M$2:$M$67,"Yes",$R$2:$R$67,"&gt;"&amp;R12),"")</x:f>
        <x:v>11</x:v>
      </x:c>
      <x:c r="B12" s="6" t="n">
        <x:f>IF(R12="","",1+COUNTIF($R$2:$R$67,"&gt;"&amp;R12))</x:f>
        <x:v>26</x:v>
      </x:c>
      <x:c r="C12" s="6" t="str">
        <x:v>P025</x:v>
      </x:c>
      <x:c r="D12" s="6" t="str">
        <x:v>Magma: A Foundation Model for Multimodal AI Agents</x:v>
      </x:c>
      <x:c r="E12" s="6" t="n">
        <x:v>2025</x:v>
      </x:c>
      <x:c r="F12" s="6" t="str">
        <x:v>Bridge</x:v>
      </x:c>
      <x:c r="G12" s="6" t="str">
        <x:v>VL</x:v>
      </x:c>
      <x:c r="H12" s="6" t="str">
        <x:v>Action trajectory/tokens</x:v>
      </x:c>
      <x:c r="I12" s="6" t="str">
        <x:v>Model</x:v>
      </x:c>
      <x:c r="J12" s="6" t="str">
        <x:v>Actions / spatial traces</x:v>
      </x:c>
      <x:c r="K12" s="6" t="str">
        <x:v>Direct policy</x:v>
      </x:c>
      <x:c r="L12" s="6" t="str">
        <x:v>Major</x:v>
      </x:c>
      <x:c r="M12" s="6" t="str">
        <x:v>Yes</x:v>
      </x:c>
      <x:c r="N12" s="6" t="str">
        <x:v>US</x:v>
      </x:c>
      <x:c r="O12" s="6" t="str">
        <x:v>Jianwei Yang et al.</x:v>
      </x:c>
      <x:c r="P12" s="6" t="str">
        <x:v>https://openaccess.thecvf.com/content/CVPR2025/papers/Yang_Magma_A_Foundation_Model_for_Multimodal_AI_Agents_CVPR_2025_paper.pdf</x:v>
      </x:c>
      <x:c r="Q12" s="6" t="str">
        <x:v>Unified image/video/robotics agent model</x:v>
      </x:c>
      <x:c r="R12" s="15" t="n">
        <x:v>21</x:v>
      </x:c>
      <x:c r="S12" s="15" t="n">
        <x:f>IF(R12="","",R12/MAX(1,2026-E12+1))</x:f>
        <x:v>10.5</x:v>
      </x:c>
      <x:c r="T12" s="6" t="str">
        <x:v>OpenAlex cited_by_count; title/DOI matched; conference version preferred when indexed</x:v>
      </x:c>
      <x:c r="U12" s="6" t="str">
        <x:v>https://openalex.org/W4413147337</x:v>
      </x:c>
      <x:c r="V12" s="6" t="str">
        <x:v>2026-09-02</x:v>
      </x:c>
      <x:c r="W12" s="6" t="str"/>
    </x:row>
    <x:row r="13">
      <x:c r="A13" s="6" t="n">
        <x:f>IF(M13="Yes",1+COUNTIFS($M$2:$M$67,"Yes",$R$2:$R$67,"&gt;"&amp;R13),"")</x:f>
        <x:v>12</x:v>
      </x:c>
      <x:c r="B13" s="6" t="n">
        <x:f>IF(R13="","",1+COUNTIF($R$2:$R$67,"&gt;"&amp;R13))</x:f>
        <x:v>29</x:v>
      </x:c>
      <x:c r="C13" s="6" t="str">
        <x:v>P023</x:v>
      </x:c>
      <x:c r="D13" s="6" t="str">
        <x:v>Learning Video-Conditioned Policies for Unseen Manipulation Tasks</x:v>
      </x:c>
      <x:c r="E13" s="6" t="n">
        <x:v>2023</x:v>
      </x:c>
      <x:c r="F13" s="6" t="str">
        <x:v>Bridge</x:v>
      </x:c>
      <x:c r="G13" s="6" t="str">
        <x:v>U2</x:v>
      </x:c>
      <x:c r="H13" s="6" t="str">
        <x:v>Action trajectory/tokens</x:v>
      </x:c>
      <x:c r="I13" s="6" t="str">
        <x:v>Model</x:v>
      </x:c>
      <x:c r="J13" s="6" t="str">
        <x:v>Video-conditioned action</x:v>
      </x:c>
      <x:c r="K13" s="6" t="str">
        <x:v>Direct policy</x:v>
      </x:c>
      <x:c r="L13" s="6" t="str">
        <x:v>Major</x:v>
      </x:c>
      <x:c r="M13" s="6" t="str">
        <x:v>Yes</x:v>
      </x:c>
      <x:c r="N13" s="6" t="str">
        <x:v>Europe</x:v>
      </x:c>
      <x:c r="O13" s="6" t="str">
        <x:v>Elliot Chane-Sane; Cordelia Schmid; Ivan Laptev</x:v>
      </x:c>
      <x:c r="P13" s="6" t="str">
        <x:v>https://arxiv.org/abs/2305.06289</x:v>
      </x:c>
      <x:c r="Q13" s="6" t="str">
        <x:v>Direct European understanding-to-policy bridge</x:v>
      </x:c>
      <x:c r="R13" s="15" t="n">
        <x:v>16</x:v>
      </x:c>
      <x:c r="S13" s="15" t="n">
        <x:f>IF(R13="","",R13/MAX(1,2026-E13+1))</x:f>
        <x:v>4</x:v>
      </x:c>
      <x:c r="T13" s="6" t="str">
        <x:v>OpenAlex cited_by_count; title/DOI matched; conference version preferred when indexed</x:v>
      </x:c>
      <x:c r="U13" s="6" t="str">
        <x:v>https://openalex.org/W4383109144</x:v>
      </x:c>
      <x:c r="V13" s="6" t="str">
        <x:v>2026-09-02</x:v>
      </x:c>
      <x:c r="W13" s="6" t="str"/>
    </x:row>
    <x:row r="14">
      <x:c r="A14" s="6" t="n">
        <x:f>IF(M14="Yes",1+COUNTIFS($M$2:$M$67,"Yes",$R$2:$R$67,"&gt;"&amp;R14),"")</x:f>
        <x:v>12</x:v>
      </x:c>
      <x:c r="B14" s="6" t="n">
        <x:f>IF(R14="","",1+COUNTIF($R$2:$R$67,"&gt;"&amp;R14))</x:f>
        <x:v>29</x:v>
      </x:c>
      <x:c r="C14" s="6" t="str">
        <x:v>P037</x:v>
      </x:c>
      <x:c r="D14" s="6" t="str">
        <x:v>RoboNet: Large-Scale Multi-Robot Learning</x:v>
      </x:c>
      <x:c r="E14" s="6" t="n">
        <x:v>2019</x:v>
      </x:c>
      <x:c r="F14" s="6" t="str">
        <x:v>Robotics</x:v>
      </x:c>
      <x:c r="G14" s="6" t="str">
        <x:v>G2</x:v>
      </x:c>
      <x:c r="H14" s="6" t="str">
        <x:v>Dataset/benchmark</x:v>
      </x:c>
      <x:c r="I14" s="6" t="str">
        <x:v>Dataset</x:v>
      </x:c>
      <x:c r="J14" s="6" t="str">
        <x:v>Robot trajectories / video</x:v>
      </x:c>
      <x:c r="K14" s="6" t="str">
        <x:v>Data generation</x:v>
      </x:c>
      <x:c r="L14" s="6" t="str">
        <x:v>Landmark</x:v>
      </x:c>
      <x:c r="M14" s="6" t="str">
        <x:v>Yes</x:v>
      </x:c>
      <x:c r="N14" s="6" t="str">
        <x:v>US</x:v>
      </x:c>
      <x:c r="O14" s="6" t="str">
        <x:v>Sudeep Dasari; Frederik Ebert; Stephen Tian; Suraj Nair; Bernadette Bucher; Karl Schmeckpeper; Sergey Levine; Chelsea Finn</x:v>
      </x:c>
      <x:c r="P14" s="6" t="str">
        <x:v>https://arxiv.org/abs/1910.11215</x:v>
      </x:c>
      <x:c r="Q14" s="6" t="str">
        <x:v>Large-scale robot video data for learned dynamics and control</x:v>
      </x:c>
      <x:c r="R14" s="15" t="n">
        <x:v>16</x:v>
      </x:c>
      <x:c r="S14" s="15" t="n">
        <x:f>IF(R14="","",R14/MAX(1,2026-E14+1))</x:f>
        <x:v>2</x:v>
      </x:c>
      <x:c r="T14" s="6" t="str">
        <x:v>OpenAlex cited_by_count; title/DOI matched; conference version preferred when indexed</x:v>
      </x:c>
      <x:c r="U14" s="6" t="str">
        <x:v>https://openalex.org/W2981626359</x:v>
      </x:c>
      <x:c r="V14" s="6" t="str">
        <x:v>2026-09-02</x:v>
      </x:c>
      <x:c r="W14" s="6" t="str">
        <x:v>RoboNet is a dataset paper; G2 records its visual-foresight lineage, while D records the paper artifact itself.</x:v>
      </x:c>
    </x:row>
    <x:row r="15">
      <x:c r="A15" s="6" t="n">
        <x:f>IF(M15="Yes",1+COUNTIFS($M$2:$M$67,"Yes",$R$2:$R$67,"&gt;"&amp;R15),"")</x:f>
        <x:v>14</x:v>
      </x:c>
      <x:c r="B15" s="6" t="n">
        <x:f>IF(R15="","",1+COUNTIF($R$2:$R$67,"&gt;"&amp;R15))</x:f>
        <x:v>31</x:v>
      </x:c>
      <x:c r="C15" s="6" t="str">
        <x:v>P041</x:v>
      </x:c>
      <x:c r="D15" s="6" t="str">
        <x:v>Learning Interactive Real-World Simulators (UniSim)</x:v>
      </x:c>
      <x:c r="E15" s="6" t="n">
        <x:v>2023</x:v>
      </x:c>
      <x:c r="F15" s="6" t="str">
        <x:v>Bridge</x:v>
      </x:c>
      <x:c r="G15" s="6" t="str">
        <x:v>G2</x:v>
      </x:c>
      <x:c r="H15" s="6" t="str">
        <x:v>Predicted future video/state</x:v>
      </x:c>
      <x:c r="I15" s="6" t="str">
        <x:v>Model</x:v>
      </x:c>
      <x:c r="J15" s="6" t="str">
        <x:v>Action-conditioned future video / world state</x:v>
      </x:c>
      <x:c r="K15" s="6" t="str">
        <x:v>World simulation</x:v>
      </x:c>
      <x:c r="L15" s="6" t="str">
        <x:v>Landmark</x:v>
      </x:c>
      <x:c r="M15" s="6" t="str">
        <x:v>Yes</x:v>
      </x:c>
      <x:c r="N15" s="6" t="str">
        <x:v>US</x:v>
      </x:c>
      <x:c r="O15" s="6" t="str">
        <x:v>Sherry Yang; Yilun Du; Kamyar Ghasemipour; Jonathan Tompson; Dale Schuurmans; Pieter Abbeel</x:v>
      </x:c>
      <x:c r="P15" s="6" t="str">
        <x:v>https://arxiv.org/abs/2310.06114</x:v>
      </x:c>
      <x:c r="Q15" s="6" t="str">
        <x:v>A real-world simulator trained from image, robotics, navigation, and video data; used to train policies that transfer to real robots</x:v>
      </x:c>
      <x:c r="R15" s="15" t="n">
        <x:v>12</x:v>
      </x:c>
      <x:c r="S15" s="15" t="n">
        <x:f>IF(R15="","",R15/MAX(1,2026-E15+1))</x:f>
        <x:v>3</x:v>
      </x:c>
      <x:c r="T15" s="6" t="str">
        <x:v>OpenAlex cited_by_count; title/DOI matched; conference version preferred when indexed</x:v>
      </x:c>
      <x:c r="U15" s="6" t="str">
        <x:v>https://openalex.org/W4387560742</x:v>
      </x:c>
      <x:c r="V15" s="6" t="str">
        <x:v>2026-09-02</x:v>
      </x:c>
      <x:c r="W15" s="6" t="str"/>
    </x:row>
    <x:row r="16">
      <x:c r="A16" s="6" t="n">
        <x:f>IF(M16="Yes",1+COUNTIFS($M$2:$M$67,"Yes",$R$2:$R$67,"&gt;"&amp;R16),"")</x:f>
        <x:v>15</x:v>
      </x:c>
      <x:c r="B16" s="6" t="n">
        <x:f>IF(R16="","",1+COUNTIF($R$2:$R$67,"&gt;"&amp;R16))</x:f>
        <x:v>35</x:v>
      </x:c>
      <x:c r="C16" s="6" t="str">
        <x:v>P016</x:v>
      </x:c>
      <x:c r="D16" s="6" t="str">
        <x:v>Cosmos World Foundation Model Platform for Physical AI</x:v>
      </x:c>
      <x:c r="E16" s="6" t="n">
        <x:v>2025</x:v>
      </x:c>
      <x:c r="F16" s="6" t="str">
        <x:v>Bridge</x:v>
      </x:c>
      <x:c r="G16" s="6" t="str">
        <x:v>G2</x:v>
      </x:c>
      <x:c r="H16" s="6" t="str">
        <x:v>Predicted future video/state</x:v>
      </x:c>
      <x:c r="I16" s="6" t="str">
        <x:v>Platform / model</x:v>
      </x:c>
      <x:c r="J16" s="6" t="str">
        <x:v>Future video / world state</x:v>
      </x:c>
      <x:c r="K16" s="6" t="str">
        <x:v>World simulation</x:v>
      </x:c>
      <x:c r="L16" s="6" t="str">
        <x:v>Landmark</x:v>
      </x:c>
      <x:c r="M16" s="6" t="str">
        <x:v>Yes</x:v>
      </x:c>
      <x:c r="N16" s="6" t="str">
        <x:v>US</x:v>
      </x:c>
      <x:c r="O16" s="6" t="str">
        <x:v>NVIDIA Cosmos team</x:v>
      </x:c>
      <x:c r="P16" s="6" t="str">
        <x:v>https://arxiv.org/abs/2501.03575</x:v>
      </x:c>
      <x:c r="Q16" s="6" t="str">
        <x:v>Large generative world foundation model for physical AI</x:v>
      </x:c>
      <x:c r="R16" s="15" t="n">
        <x:v>10</x:v>
      </x:c>
      <x:c r="S16" s="15" t="n">
        <x:f>IF(R16="","",R16/MAX(1,2026-E16+1))</x:f>
        <x:v>5</x:v>
      </x:c>
      <x:c r="T16" s="6" t="str">
        <x:v>OpenAlex cited_by_count; title/DOI matched; conference version preferred when indexed</x:v>
      </x:c>
      <x:c r="U16" s="6" t="str">
        <x:v>https://openalex.org/W4406191642</x:v>
      </x:c>
      <x:c r="V16" s="6" t="str">
        <x:v>2026-09-02</x:v>
      </x:c>
      <x:c r="W16" s="6" t="str"/>
    </x:row>
    <x:row r="17">
      <x:c r="A17" s="6" t="n">
        <x:f>IF(M17="Yes",1+COUNTIFS($M$2:$M$67,"Yes",$R$2:$R$67,"&gt;"&amp;R17),"")</x:f>
        <x:v>16</x:v>
      </x:c>
      <x:c r="B17" s="6" t="n">
        <x:f>IF(R17="","",1+COUNTIF($R$2:$R$67,"&gt;"&amp;R17))</x:f>
        <x:v>38</x:v>
      </x:c>
      <x:c r="C17" s="6" t="str">
        <x:v>P022</x:v>
      </x:c>
      <x:c r="D17" s="6" t="str">
        <x:v>ViViDex: Learning Vision-Based Dexterous Manipulation from Human Videos</x:v>
      </x:c>
      <x:c r="E17" s="6" t="n">
        <x:v>2024</x:v>
      </x:c>
      <x:c r="F17" s="6" t="str">
        <x:v>Bridge</x:v>
      </x:c>
      <x:c r="G17" s="6" t="str">
        <x:v>U2</x:v>
      </x:c>
      <x:c r="H17" s="6" t="str">
        <x:v>Action trajectory/tokens</x:v>
      </x:c>
      <x:c r="I17" s="6" t="str">
        <x:v>Model</x:v>
      </x:c>
      <x:c r="J17" s="6" t="str">
        <x:v>Motion representation + actions</x:v>
      </x:c>
      <x:c r="K17" s="6" t="str">
        <x:v>Direct policy</x:v>
      </x:c>
      <x:c r="L17" s="6" t="str">
        <x:v>Major</x:v>
      </x:c>
      <x:c r="M17" s="6" t="str">
        <x:v>Yes</x:v>
      </x:c>
      <x:c r="N17" s="6" t="str">
        <x:v>Europe</x:v>
      </x:c>
      <x:c r="O17" s="6" t="str">
        <x:v>French/European collaboration</x:v>
      </x:c>
      <x:c r="P17" s="6" t="str">
        <x:v>https://arxiv.org/abs/2404.15709</x:v>
      </x:c>
      <x:c r="Q17" s="6" t="str">
        <x:v>Human video interaction understanding for dexterous control</x:v>
      </x:c>
      <x:c r="R17" s="15" t="n">
        <x:v>8</x:v>
      </x:c>
      <x:c r="S17" s="15" t="n">
        <x:f>IF(R17="","",R17/MAX(1,2026-E17+1))</x:f>
        <x:v>2.6666666666666665</x:v>
      </x:c>
      <x:c r="T17" s="6" t="str">
        <x:v>OpenAlex cited_by_count; title/DOI matched; conference version preferred when indexed</x:v>
      </x:c>
      <x:c r="U17" s="6" t="str">
        <x:v>https://openalex.org/W4413925209</x:v>
      </x:c>
      <x:c r="V17" s="6" t="str">
        <x:v>2026-09-02</x:v>
      </x:c>
      <x:c r="W17" s="6" t="str"/>
    </x:row>
    <x:row r="18">
      <x:c r="A18" s="6" t="n">
        <x:f>IF(M18="Yes",1+COUNTIFS($M$2:$M$67,"Yes",$R$2:$R$67,"&gt;"&amp;R18),"")</x:f>
        <x:v>17</x:v>
      </x:c>
      <x:c r="B18" s="6" t="n">
        <x:f>IF(R18="","",1+COUNTIF($R$2:$R$67,"&gt;"&amp;R18))</x:f>
        <x:v>39</x:v>
      </x:c>
      <x:c r="C18" s="6" t="str">
        <x:v>P015</x:v>
      </x:c>
      <x:c r="D18" s="6" t="str">
        <x:v>GR-2: A Generative Video-Language-Action Model with Web-Scale Knowledge for Robot Manipulation</x:v>
      </x:c>
      <x:c r="E18" s="6" t="n">
        <x:v>2024</x:v>
      </x:c>
      <x:c r="F18" s="6" t="str">
        <x:v>Bridge</x:v>
      </x:c>
      <x:c r="G18" s="6" t="str">
        <x:v>G3</x:v>
      </x:c>
      <x:c r="H18" s="6" t="str">
        <x:v>Joint visual/state + action</x:v>
      </x:c>
      <x:c r="I18" s="6" t="str">
        <x:v>Model</x:v>
      </x:c>
      <x:c r="J18" s="6" t="str">
        <x:v>Video + actions</x:v>
      </x:c>
      <x:c r="K18" s="6" t="str">
        <x:v>Direct policy</x:v>
      </x:c>
      <x:c r="L18" s="6" t="str">
        <x:v>Major</x:v>
      </x:c>
      <x:c r="M18" s="6" t="str">
        <x:v>Yes</x:v>
      </x:c>
      <x:c r="N18" s="6" t="str">
        <x:v>Asia</x:v>
      </x:c>
      <x:c r="O18" s="6" t="str">
        <x:v>Chi-Lam Cheang et al.</x:v>
      </x:c>
      <x:c r="P18" s="6" t="str">
        <x:v>https://arxiv.org/abs/2410.06158</x:v>
      </x:c>
      <x:c r="Q18" s="6" t="str">
        <x:v>Pretrains video generation then predicts actions and videos</x:v>
      </x:c>
      <x:c r="R18" s="15" t="n">
        <x:v>7</x:v>
      </x:c>
      <x:c r="S18" s="15" t="n">
        <x:f>IF(R18="","",R18/MAX(1,2026-E18+1))</x:f>
        <x:v>2.3333333333333335</x:v>
      </x:c>
      <x:c r="T18" s="6" t="str">
        <x:v>OpenAlex cited_by_count; title/DOI matched; conference version preferred when indexed</x:v>
      </x:c>
      <x:c r="U18" s="6" t="str">
        <x:v>https://openalex.org/W4403344670</x:v>
      </x:c>
      <x:c r="V18" s="6" t="str">
        <x:v>2026-09-02</x:v>
      </x:c>
      <x:c r="W18" s="6" t="str"/>
    </x:row>
    <x:row r="19">
      <x:c r="A19" s="6" t="n">
        <x:f>IF(M19="Yes",1+COUNTIFS($M$2:$M$67,"Yes",$R$2:$R$67,"&gt;"&amp;R19),"")</x:f>
        <x:v>18</x:v>
      </x:c>
      <x:c r="B19" s="6" t="n">
        <x:f>IF(R19="","",1+COUNTIF($R$2:$R$67,"&gt;"&amp;R19))</x:f>
        <x:v>43</x:v>
      </x:c>
      <x:c r="C19" s="6" t="str">
        <x:v>P004</x:v>
      </x:c>
      <x:c r="D19" s="6" t="str">
        <x:v>V-JEPA 2: Self-Supervised Video Models Enable Understanding, Prediction and Planning</x:v>
      </x:c>
      <x:c r="E19" s="6" t="n">
        <x:v>2025</x:v>
      </x:c>
      <x:c r="F19" s="6" t="str">
        <x:v>Bridge</x:v>
      </x:c>
      <x:c r="G19" s="6" t="str">
        <x:v>U3</x:v>
      </x:c>
      <x:c r="H19" s="6" t="str">
        <x:v>Representation/reward/value</x:v>
      </x:c>
      <x:c r="I19" s="6" t="str">
        <x:v>Model</x:v>
      </x:c>
      <x:c r="J19" s="6" t="str">
        <x:v>Latent future state</x:v>
      </x:c>
      <x:c r="K19" s="6" t="str">
        <x:v>Planning</x:v>
      </x:c>
      <x:c r="L19" s="6" t="str">
        <x:v>Landmark</x:v>
      </x:c>
      <x:c r="M19" s="6" t="str">
        <x:v>Yes</x:v>
      </x:c>
      <x:c r="N19" s="6" t="str">
        <x:v>Mixed</x:v>
      </x:c>
      <x:c r="O19" s="6" t="str">
        <x:v>Mahmoud Assran; Adrien Bardes; David Fan; Quentin Garrido; Nicolas Ballas et al.</x:v>
      </x:c>
      <x:c r="P19" s="6" t="str">
        <x:v>https://arxiv.org/abs/2506.09985</x:v>
      </x:c>
      <x:c r="Q19" s="6" t="str">
        <x:v>Internet video pretraining plus small robot-data post-training</x:v>
      </x:c>
      <x:c r="R19" s="15" t="n">
        <x:v>5</x:v>
      </x:c>
      <x:c r="S19" s="15" t="n">
        <x:f>IF(R19="","",R19/MAX(1,2026-E19+1))</x:f>
        <x:v>2.5</x:v>
      </x:c>
      <x:c r="T19" s="6" t="str">
        <x:v>OpenAlex cited_by_count; title/DOI matched; conference version preferred when indexed</x:v>
      </x:c>
      <x:c r="U19" s="6" t="str">
        <x:v>https://openalex.org/W4417261359</x:v>
      </x:c>
      <x:c r="V19" s="6" t="str">
        <x:v>2026-09-02</x:v>
      </x:c>
      <x:c r="W19" s="6" t="str"/>
    </x:row>
    <x:row r="20">
      <x:c r="A20" s="6" t="n">
        <x:f>IF(M20="Yes",1+COUNTIFS($M$2:$M$67,"Yes",$R$2:$R$67,"&gt;"&amp;R20),"")</x:f>
        <x:v>19</x:v>
      </x:c>
      <x:c r="B20" s="6" t="n">
        <x:f>IF(R20="","",1+COUNTIF($R$2:$R$67,"&gt;"&amp;R20))</x:f>
        <x:v>45</x:v>
      </x:c>
      <x:c r="C20" s="6" t="str">
        <x:v>P042</x:v>
      </x:c>
      <x:c r="D20" s="6" t="str">
        <x:v>iVideoGPT: Interactive VideoGPTs are Scalable World Models</x:v>
      </x:c>
      <x:c r="E20" s="6" t="n">
        <x:v>2024</x:v>
      </x:c>
      <x:c r="F20" s="6" t="str">
        <x:v>Bridge</x:v>
      </x:c>
      <x:c r="G20" s="6" t="str">
        <x:v>G2</x:v>
      </x:c>
      <x:c r="H20" s="6" t="str">
        <x:v>Predicted future video/state</x:v>
      </x:c>
      <x:c r="I20" s="6" t="str">
        <x:v>Model</x:v>
      </x:c>
      <x:c r="J20" s="6" t="str">
        <x:v>Action-conditioned video, action, and reward tokens</x:v>
      </x:c>
      <x:c r="K20" s="6" t="str">
        <x:v>Planning</x:v>
      </x:c>
      <x:c r="L20" s="6" t="str">
        <x:v>Major</x:v>
      </x:c>
      <x:c r="M20" s="6" t="str">
        <x:v>Yes</x:v>
      </x:c>
      <x:c r="N20" s="6" t="str">
        <x:v>Asia</x:v>
      </x:c>
      <x:c r="O20" s="6" t="str">
        <x:v>Jialong Wu; Shaofeng Yin; Ningya Feng; Xu He; Dong Li; Jianye Hao; Mingsheng Long</x:v>
      </x:c>
      <x:c r="P20" s="6" t="str">
        <x:v>https://arxiv.org/abs/2405.15223</x:v>
      </x:c>
      <x:c r="Q20" s="6" t="str">
        <x:v>Pretrained on large-scale human and robot manipulation video, then adapted to visual planning and model-based RL</x:v>
      </x:c>
      <x:c r="R20" s="15" t="n">
        <x:v>4</x:v>
      </x:c>
      <x:c r="S20" s="15" t="n">
        <x:f>IF(R20="","",R20/MAX(1,2026-E20+1))</x:f>
        <x:v>1.3333333333333333</x:v>
      </x:c>
      <x:c r="T20" s="6" t="str">
        <x:v>OpenAlex cited_by_count; title/DOI matched; conference version preferred when indexed</x:v>
      </x:c>
      <x:c r="U20" s="6" t="str">
        <x:v>https://openalex.org/W4415797250</x:v>
      </x:c>
      <x:c r="V20" s="6" t="str">
        <x:v>2026-09-02</x:v>
      </x:c>
      <x:c r="W20" s="6" t="str"/>
    </x:row>
    <x:row r="21">
      <x:c r="A21" s="6" t="n">
        <x:f>IF(M21="Yes",1+COUNTIFS($M$2:$M$67,"Yes",$R$2:$R$67,"&gt;"&amp;R21),"")</x:f>
        <x:v>19</x:v>
      </x:c>
      <x:c r="B21" s="6" t="n">
        <x:f>IF(R21="","",1+COUNTIF($R$2:$R$67,"&gt;"&amp;R21))</x:f>
        <x:v>45</x:v>
      </x:c>
      <x:c r="C21" s="6" t="str">
        <x:v>P012</x:v>
      </x:c>
      <x:c r="D21" s="6" t="str">
        <x:v>RoboDreamer: Learning Compositional World Models for Robot Imagination</x:v>
      </x:c>
      <x:c r="E21" s="6" t="n">
        <x:v>2024</x:v>
      </x:c>
      <x:c r="F21" s="6" t="str">
        <x:v>Bridge</x:v>
      </x:c>
      <x:c r="G21" s="6" t="str">
        <x:v>G2</x:v>
      </x:c>
      <x:c r="H21" s="6" t="str">
        <x:v>Predicted future video/state</x:v>
      </x:c>
      <x:c r="I21" s="6" t="str">
        <x:v>Model</x:v>
      </x:c>
      <x:c r="J21" s="6" t="str">
        <x:v>Action-conditioned video</x:v>
      </x:c>
      <x:c r="K21" s="6" t="str">
        <x:v>Planning</x:v>
      </x:c>
      <x:c r="L21" s="6" t="str">
        <x:v>Major</x:v>
      </x:c>
      <x:c r="M21" s="6" t="str">
        <x:v>Yes</x:v>
      </x:c>
      <x:c r="N21" s="6" t="str">
        <x:v>US</x:v>
      </x:c>
      <x:c r="O21" s="6" t="str">
        <x:v>Siyuan Zhou; Yilun Du; Jiaben Chen; Yandong Li; Dit-Yan Yeung; Chuang Gan</x:v>
      </x:c>
      <x:c r="P21" s="6" t="str">
        <x:v>https://arxiv.org/abs/2404.12377</x:v>
      </x:c>
      <x:c r="Q21" s="6" t="str">
        <x:v>Compositional video world model for robot planning</x:v>
      </x:c>
      <x:c r="R21" s="15" t="n">
        <x:v>4</x:v>
      </x:c>
      <x:c r="S21" s="15" t="n">
        <x:f>IF(R21="","",R21/MAX(1,2026-E21+1))</x:f>
        <x:v>1.3333333333333333</x:v>
      </x:c>
      <x:c r="T21" s="6" t="str">
        <x:v>OpenAlex cited_by_count; title/DOI matched; conference version preferred when indexed</x:v>
      </x:c>
      <x:c r="U21" s="6" t="str">
        <x:v>https://openalex.org/W4394972242</x:v>
      </x:c>
      <x:c r="V21" s="6" t="str">
        <x:v>2026-09-02</x:v>
      </x:c>
      <x:c r="W21" s="6" t="str"/>
    </x:row>
    <x:row r="22">
      <x:c r="A22" s="6" t="n">
        <x:f>IF(M22="Yes",1+COUNTIFS($M$2:$M$67,"Yes",$R$2:$R$67,"&gt;"&amp;R22),"")</x:f>
        <x:v>21</x:v>
      </x:c>
      <x:c r="B22" s="6" t="n">
        <x:f>IF(R22="","",1+COUNTIF($R$2:$R$67,"&gt;"&amp;R22))</x:f>
        <x:v>48</x:v>
      </x:c>
      <x:c r="C22" s="6" t="str">
        <x:v>P063</x:v>
      </x:c>
      <x:c r="D22" s="6" t="str">
        <x:v>FlowControl: Optical Flow Based Visual Servoing</x:v>
      </x:c>
      <x:c r="E22" s="6" t="n">
        <x:v>2020</x:v>
      </x:c>
      <x:c r="F22" s="6" t="str">
        <x:v>Bridge</x:v>
      </x:c>
      <x:c r="G22" s="6" t="str">
        <x:v>U2</x:v>
      </x:c>
      <x:c r="H22" s="6" t="str">
        <x:v>Action trajectory/tokens</x:v>
      </x:c>
      <x:c r="I22" s="6" t="str">
        <x:v>Model</x:v>
      </x:c>
      <x:c r="J22" s="6" t="str">
        <x:v>Optical-flow-conditioned robot control</x:v>
      </x:c>
      <x:c r="K22" s="6" t="str">
        <x:v>Direct policy</x:v>
      </x:c>
      <x:c r="L22" s="6" t="str">
        <x:v>Major</x:v>
      </x:c>
      <x:c r="M22" s="6" t="str">
        <x:v>Yes</x:v>
      </x:c>
      <x:c r="N22" s="6" t="str">
        <x:v>Europe</x:v>
      </x:c>
      <x:c r="O22" s="6" t="str">
        <x:v>Max Argus; Lukas Hermann; Jon Long; Thomas Brox</x:v>
      </x:c>
      <x:c r="P22" s="6" t="str">
        <x:v>https://arxiv.org/abs/2007.00291</x:v>
      </x:c>
      <x:c r="Q22" s="6" t="str">
        <x:v>Transfers optical-flow research directly into one-shot robot visual servoing</x:v>
      </x:c>
      <x:c r="R22" s="15" t="n">
        <x:v>3</x:v>
      </x:c>
      <x:c r="S22" s="15" t="n">
        <x:f>IF(R22="","",R22/MAX(1,2026-E22+1))</x:f>
        <x:v>0.42857142857142855</x:v>
      </x:c>
      <x:c r="T22" s="6" t="str">
        <x:v>OpenAlex cited_by_count; title/DOI matched; conference version preferred when indexed</x:v>
      </x:c>
      <x:c r="U22" s="6" t="str">
        <x:v>https://openalex.org/W3040605367</x:v>
      </x:c>
      <x:c r="V22" s="6" t="str">
        <x:v>2026-09-02</x:v>
      </x:c>
      <x:c r="W22" s="6" t="str"/>
    </x:row>
    <x:row r="23">
      <x:c r="A23" s="6" t="n">
        <x:f>IF(M23="Yes",1+COUNTIFS($M$2:$M$67,"Yes",$R$2:$R$67,"&gt;"&amp;R23),"")</x:f>
        <x:v>22</x:v>
      </x:c>
      <x:c r="B23" s="6" t="n">
        <x:f>IF(R23="","",1+COUNTIF($R$2:$R$67,"&gt;"&amp;R23))</x:f>
        <x:v>52</x:v>
      </x:c>
      <x:c r="C23" s="6" t="str">
        <x:v>P014</x:v>
      </x:c>
      <x:c r="D23" s="6" t="str">
        <x:v>Gen2Act: Human Video Generation in Novel Scenarios enables Generalizable Robot Manipulation</x:v>
      </x:c>
      <x:c r="E23" s="6" t="n">
        <x:v>2024</x:v>
      </x:c>
      <x:c r="F23" s="6" t="str">
        <x:v>Bridge</x:v>
      </x:c>
      <x:c r="G23" s="6" t="str">
        <x:v>G1</x:v>
      </x:c>
      <x:c r="H23" s="6" t="str">
        <x:v>Generated image/video</x:v>
      </x:c>
      <x:c r="I23" s="6" t="str">
        <x:v>Model</x:v>
      </x:c>
      <x:c r="J23" s="6" t="str">
        <x:v>Generated human video</x:v>
      </x:c>
      <x:c r="K23" s="6" t="str">
        <x:v>Direct policy</x:v>
      </x:c>
      <x:c r="L23" s="6" t="str">
        <x:v>Major</x:v>
      </x:c>
      <x:c r="M23" s="6" t="str">
        <x:v>Yes</x:v>
      </x:c>
      <x:c r="N23" s="6" t="str">
        <x:v>US</x:v>
      </x:c>
      <x:c r="O23" s="6" t="str">
        <x:v>Homanga Bharadhwaj; Debidatta Dwibedi; Abhinav Gupta; Shubham Tulsiani; Carl Doersch; Ted Xiao; Dhruv Shah; Fei Xia; Dorsa Sadigh; Sean Kirmani</x:v>
      </x:c>
      <x:c r="P23" s="6" t="str">
        <x:v>https://arxiv.org/abs/2409.16283</x:v>
      </x:c>
      <x:c r="Q23" s="6" t="str">
        <x:v>Generated videos supervise robot actions</x:v>
      </x:c>
      <x:c r="R23" s="15" t="n">
        <x:v>1</x:v>
      </x:c>
      <x:c r="S23" s="15" t="n">
        <x:f>IF(R23="","",R23/MAX(1,2026-E23+1))</x:f>
        <x:v>0.3333333333333333</x:v>
      </x:c>
      <x:c r="T23" s="6" t="str">
        <x:v>OpenAlex cited_by_count; title/DOI matched; conference version preferred when indexed</x:v>
      </x:c>
      <x:c r="U23" s="6" t="str">
        <x:v>https://openalex.org/W4403788204</x:v>
      </x:c>
      <x:c r="V23" s="6" t="str">
        <x:v>2026-09-02</x:v>
      </x:c>
      <x:c r="W23" s="6" t="str"/>
    </x:row>
    <x:row r="24">
      <x:c r="A24" s="6" t="n">
        <x:f>IF(M24="Yes",1+COUNTIFS($M$2:$M$67,"Yes",$R$2:$R$67,"&gt;"&amp;R24),"")</x:f>
        <x:v>22</x:v>
      </x:c>
      <x:c r="B24" s="6" t="n">
        <x:f>IF(R24="","",1+COUNTIF($R$2:$R$67,"&gt;"&amp;R24))</x:f>
        <x:v>52</x:v>
      </x:c>
      <x:c r="C24" s="6" t="str">
        <x:v>P043</x:v>
      </x:c>
      <x:c r="D24" s="6" t="str">
        <x:v>IRASim: A Fine-Grained World Model for Robot Manipulation</x:v>
      </x:c>
      <x:c r="E24" s="6" t="n">
        <x:v>2024</x:v>
      </x:c>
      <x:c r="F24" s="6" t="str">
        <x:v>Bridge</x:v>
      </x:c>
      <x:c r="G24" s="6" t="str">
        <x:v>G2</x:v>
      </x:c>
      <x:c r="H24" s="6" t="str">
        <x:v>Predicted future video/state</x:v>
      </x:c>
      <x:c r="I24" s="6" t="str">
        <x:v>Model</x:v>
      </x:c>
      <x:c r="J24" s="6" t="str">
        <x:v>Robot-action-conditioned future video</x:v>
      </x:c>
      <x:c r="K24" s="6" t="str">
        <x:v>World simulation</x:v>
      </x:c>
      <x:c r="L24" s="6" t="str">
        <x:v>Major</x:v>
      </x:c>
      <x:c r="M24" s="6" t="str">
        <x:v>Yes</x:v>
      </x:c>
      <x:c r="N24" s="6" t="str">
        <x:v>Asia</x:v>
      </x:c>
      <x:c r="O24" s="6" t="str">
        <x:v>Fangqi Zhu; Hongtao Wu; Song Guo; Yuxiao Liu; Chilam Cheang; Tao Kong</x:v>
      </x:c>
      <x:c r="P24" s="6" t="str">
        <x:v>https://arxiv.org/abs/2406.14540</x:v>
      </x:c>
      <x:c r="Q24" s="6" t="str">
        <x:v>Direct robot manipulation world model with frame-level action conditioning and policy-evaluation use</x:v>
      </x:c>
      <x:c r="R24" s="15" t="n">
        <x:v>1</x:v>
      </x:c>
      <x:c r="S24" s="15" t="n">
        <x:f>IF(R24="","",R24/MAX(1,2026-E24+1))</x:f>
        <x:v>0.3333333333333333</x:v>
      </x:c>
      <x:c r="T24" s="6" t="str">
        <x:v>OpenAlex cited_by_count; title/DOI matched; conference version preferred when indexed</x:v>
      </x:c>
      <x:c r="U24" s="6" t="str">
        <x:v>https://openalex.org/W4399912724</x:v>
      </x:c>
      <x:c r="V24" s="6" t="str">
        <x:v>2026-09-02</x:v>
      </x:c>
      <x:c r="W24" s="6" t="str"/>
    </x:row>
    <x:row r="25">
      <x:c r="A25" s="6" t="n">
        <x:f>IF(M25="Yes",1+COUNTIFS($M$2:$M$67,"Yes",$R$2:$R$67,"&gt;"&amp;R25),"")</x:f>
        <x:v>22</x:v>
      </x:c>
      <x:c r="B25" s="6" t="n">
        <x:f>IF(R25="","",1+COUNTIF($R$2:$R$67,"&gt;"&amp;R25))</x:f>
        <x:v>52</x:v>
      </x:c>
      <x:c r="C25" s="6" t="str">
        <x:v>P046</x:v>
      </x:c>
      <x:c r="D25" s="6" t="str">
        <x:v>Vid2World: Crafting Video Diffusion Models to Interactive World Models</x:v>
      </x:c>
      <x:c r="E25" s="6" t="n">
        <x:v>2025</x:v>
      </x:c>
      <x:c r="F25" s="6" t="str">
        <x:v>Bridge</x:v>
      </x:c>
      <x:c r="G25" s="6" t="str">
        <x:v>G2</x:v>
      </x:c>
      <x:c r="H25" s="6" t="str">
        <x:v>Predicted future video/state</x:v>
      </x:c>
      <x:c r="I25" s="6" t="str">
        <x:v>Model</x:v>
      </x:c>
      <x:c r="J25" s="6" t="str">
        <x:v>Autoregressive action-conditioned future video</x:v>
      </x:c>
      <x:c r="K25" s="6" t="str">
        <x:v>World simulation</x:v>
      </x:c>
      <x:c r="L25" s="6" t="str">
        <x:v>Major</x:v>
      </x:c>
      <x:c r="M25" s="6" t="str">
        <x:v>Yes</x:v>
      </x:c>
      <x:c r="N25" s="6" t="str">
        <x:v>Asia</x:v>
      </x:c>
      <x:c r="O25" s="6" t="str">
        <x:v>Siqiao Huang; Jialong Wu; Qixing Zhou; Shangchen Miao; Mingsheng Long</x:v>
      </x:c>
      <x:c r="P25" s="6" t="str">
        <x:v>https://arxiv.org/abs/2505.14357</x:v>
      </x:c>
      <x:c r="Q25" s="6" t="str">
        <x:v>Repurposes pretrained video diffusion for robot manipulation, game simulation, and navigation</x:v>
      </x:c>
      <x:c r="R25" s="15" t="n">
        <x:v>1</x:v>
      </x:c>
      <x:c r="S25" s="15" t="n">
        <x:f>IF(R25="","",R25/MAX(1,2026-E25+1))</x:f>
        <x:v>0.5</x:v>
      </x:c>
      <x:c r="T25" s="6" t="str">
        <x:v>OpenAlex cited_by_count; title/DOI matched; conference version preferred when indexed</x:v>
      </x:c>
      <x:c r="U25" s="6" t="str">
        <x:v>https://openalex.org/W4415023877</x:v>
      </x:c>
      <x:c r="V25" s="6" t="str">
        <x:v>2026-09-02</x:v>
      </x:c>
      <x:c r="W25" s="6" t="str"/>
    </x:row>
    <x:row r="26">
      <x:c r="A26" s="6" t="n">
        <x:f>IF(M26="Yes",1+COUNTIFS($M$2:$M$67,"Yes",$R$2:$R$67,"&gt;"&amp;R26),"")</x:f>
        <x:v>25</x:v>
      </x:c>
      <x:c r="B26" s="6" t="str">
        <x:f>IF(R26="","",1+COUNTIF($R$2:$R$67,"&gt;"&amp;R26))</x:f>
      </x:c>
      <x:c r="C26" s="6" t="str">
        <x:v>P045</x:v>
      </x:c>
      <x:c r="D26" s="6" t="str">
        <x:v>AVID: Adapting Video Diffusion Models to World Models</x:v>
      </x:c>
      <x:c r="E26" s="6" t="n">
        <x:v>2024</x:v>
      </x:c>
      <x:c r="F26" s="6" t="str">
        <x:v>Bridge</x:v>
      </x:c>
      <x:c r="G26" s="6" t="str">
        <x:v>G2</x:v>
      </x:c>
      <x:c r="H26" s="6" t="str">
        <x:v>Predicted future video/state</x:v>
      </x:c>
      <x:c r="I26" s="6" t="str">
        <x:v>Model</x:v>
      </x:c>
      <x:c r="J26" s="6" t="str">
        <x:v>Action-conditioned future video</x:v>
      </x:c>
      <x:c r="K26" s="6" t="str">
        <x:v>World simulation</x:v>
      </x:c>
      <x:c r="L26" s="6" t="str">
        <x:v>Major</x:v>
      </x:c>
      <x:c r="M26" s="6" t="str">
        <x:v>Yes</x:v>
      </x:c>
      <x:c r="N26" s="6" t="str">
        <x:v>Mixed</x:v>
      </x:c>
      <x:c r="O26" s="6" t="str">
        <x:v>Marc Rigter; Tarun Gupta; Agrin Hilmkil; Chao Ma</x:v>
      </x:c>
      <x:c r="P26" s="6" t="str">
        <x:v>https://arxiv.org/abs/2410.12822</x:v>
      </x:c>
      <x:c r="Q26" s="6" t="str">
        <x:v>Adapts a pretrained image-to-video diffusion model to action-conditioned robotics and game rollouts</x:v>
      </x:c>
      <x:c r="R26" s="15" t="n">
        <x:v>0</x:v>
      </x:c>
      <x:c r="S26" s="15" t="str">
        <x:f>IF(R26="","",R26/MAX(1,2026-E26+1))</x:f>
      </x:c>
      <x:c r="T26" s="6" t="str">
        <x:v>OpenAlex cited_by_count; title/DOI matched; conference version preferred when indexed</x:v>
      </x:c>
      <x:c r="U26" s="6" t="str">
        <x:v>https://openalex.org/W4403578706</x:v>
      </x:c>
      <x:c r="V26" s="6" t="str">
        <x:v>2026-09-02</x:v>
      </x:c>
      <x:c r="W26" s="6" t="str"/>
    </x:row>
    <x:row r="27">
      <x:c r="A27" s="6" t="n">
        <x:f>IF(M27="Yes",1+COUNTIFS($M$2:$M$67,"Yes",$R$2:$R$67,"&gt;"&amp;R27),"")</x:f>
        <x:v>25</x:v>
      </x:c>
      <x:c r="B27" s="6" t="str">
        <x:f>IF(R27="","",1+COUNTIF($R$2:$R$67,"&gt;"&amp;R27))</x:f>
      </x:c>
      <x:c r="C27" s="6" t="str">
        <x:v>P017</x:v>
      </x:c>
      <x:c r="D27" s="6" t="str">
        <x:v>Cosmos Policy: Fine-Tuning Video Models for Visuomotor Control and Planning</x:v>
      </x:c>
      <x:c r="E27" s="6" t="n">
        <x:v>2026</x:v>
      </x:c>
      <x:c r="F27" s="6" t="str">
        <x:v>Bridge</x:v>
      </x:c>
      <x:c r="G27" s="6" t="str">
        <x:v>G3</x:v>
      </x:c>
      <x:c r="H27" s="6" t="str">
        <x:v>Joint visual/state + action</x:v>
      </x:c>
      <x:c r="I27" s="6" t="str">
        <x:v>Model</x:v>
      </x:c>
      <x:c r="J27" s="6" t="str">
        <x:v>Actions as latent frames + future state</x:v>
      </x:c>
      <x:c r="K27" s="6" t="str">
        <x:v>Direct policy</x:v>
      </x:c>
      <x:c r="L27" s="6" t="str">
        <x:v>Landmark</x:v>
      </x:c>
      <x:c r="M27" s="6" t="str">
        <x:v>Yes</x:v>
      </x:c>
      <x:c r="N27" s="6" t="str">
        <x:v>US</x:v>
      </x:c>
      <x:c r="O27" s="6" t="str">
        <x:v>Moo Jin Kim; Yuzhu Dong; Jinwei Gu</x:v>
      </x:c>
      <x:c r="P27" s="6" t="str">
        <x:v>https://arxiv.org/abs/2601.16163</x:v>
      </x:c>
      <x:c r="Q27" s="6" t="str">
        <x:v>No architectural modification; video diffusion becomes policy</x:v>
      </x:c>
      <x:c r="R27" s="15" t="n">
        <x:v>0</x:v>
      </x:c>
      <x:c r="S27" s="15" t="str">
        <x:f>IF(R27="","",R27/MAX(1,2026-E27+1))</x:f>
      </x:c>
      <x:c r="T27" s="6" t="str">
        <x:v>OpenAlex cited_by_count; title/DOI matched; conference version preferred when indexed</x:v>
      </x:c>
      <x:c r="U27" s="6" t="str">
        <x:v>https://openalex.org/W7125496427</x:v>
      </x:c>
      <x:c r="V27" s="6" t="str">
        <x:v>2026-09-02</x:v>
      </x:c>
      <x:c r="W27" s="6" t="str"/>
    </x:row>
    <x:row r="28">
      <x:c r="A28" s="6" t="n">
        <x:f>IF(M28="Yes",1+COUNTIFS($M$2:$M$67,"Yes",$R$2:$R$67,"&gt;"&amp;R28),"")</x:f>
        <x:v>25</x:v>
      </x:c>
      <x:c r="B28" s="6" t="str">
        <x:f>IF(R28="","",1+COUNTIF($R$2:$R$67,"&gt;"&amp;R28))</x:f>
      </x:c>
      <x:c r="C28" s="6" t="str">
        <x:v>P026</x:v>
      </x:c>
      <x:c r="D28" s="6" t="str">
        <x:v>Dream2Flow: Bridging Video Generation and Open-World Manipulation with 3D Object Flow</x:v>
      </x:c>
      <x:c r="E28" s="6" t="n">
        <x:v>2026</x:v>
      </x:c>
      <x:c r="F28" s="6" t="str">
        <x:v>Bridge</x:v>
      </x:c>
      <x:c r="G28" s="6" t="str">
        <x:v>G1</x:v>
      </x:c>
      <x:c r="H28" s="6" t="str">
        <x:v>Generated image/video</x:v>
      </x:c>
      <x:c r="I28" s="6" t="str">
        <x:v>Model</x:v>
      </x:c>
      <x:c r="J28" s="6" t="str">
        <x:v>3D object flow</x:v>
      </x:c>
      <x:c r="K28" s="6" t="str">
        <x:v>Planning</x:v>
      </x:c>
      <x:c r="L28" s="6" t="str">
        <x:v>Emerging</x:v>
      </x:c>
      <x:c r="M28" s="6" t="str">
        <x:v>Yes</x:v>
      </x:c>
      <x:c r="N28" s="6" t="str">
        <x:v>US</x:v>
      </x:c>
      <x:c r="O28" s="6" t="str">
        <x:v>Karthik Dharmarajan; Wenlong Huang; Jiajun Wu; Li Fei-Fei; Ruohan Zhang</x:v>
      </x:c>
      <x:c r="P28" s="6" t="str">
        <x:v>https://jiajunwu.com/</x:v>
      </x:c>
      <x:c r="Q28" s="6" t="str">
        <x:v>Explicit video-generation-to-manipulation bridge</x:v>
      </x:c>
      <x:c r="R28" s="15" t="n">
        <x:v>0</x:v>
      </x:c>
      <x:c r="S28" s="15" t="str">
        <x:f>IF(R28="","",R28/MAX(1,2026-E28+1))</x:f>
      </x:c>
      <x:c r="T28" s="6" t="str">
        <x:v>OpenAlex cited_by_count; title/DOI matched; conference version preferred when indexed</x:v>
      </x:c>
      <x:c r="U28" s="6" t="str">
        <x:v>https://openalex.org/W7117988078</x:v>
      </x:c>
      <x:c r="V28" s="6" t="str">
        <x:v>2026-09-02</x:v>
      </x:c>
      <x:c r="W28" s="6" t="str">
        <x:v>G1: the video generator produces object motion without robot action as a conditioning input; 3D flow is then converted into robot commands.</x:v>
      </x:c>
    </x:row>
    <x:row r="29">
      <x:c r="A29" s="6" t="n">
        <x:f>IF(M29="Yes",1+COUNTIFS($M$2:$M$67,"Yes",$R$2:$R$67,"&gt;"&amp;R29),"")</x:f>
        <x:v>25</x:v>
      </x:c>
      <x:c r="B29" s="6" t="str">
        <x:f>IF(R29="","",1+COUNTIF($R$2:$R$67,"&gt;"&amp;R29))</x:f>
      </x:c>
      <x:c r="C29" s="6" t="str">
        <x:v>P018</x:v>
      </x:c>
      <x:c r="D29" s="6" t="str">
        <x:v>GWM: Towards Scalable Gaussian World Models for Robotic Manipulation</x:v>
      </x:c>
      <x:c r="E29" s="6" t="n">
        <x:v>2025</x:v>
      </x:c>
      <x:c r="F29" s="6" t="str">
        <x:v>Bridge</x:v>
      </x:c>
      <x:c r="G29" s="6" t="str">
        <x:v>G2</x:v>
      </x:c>
      <x:c r="H29" s="6" t="str">
        <x:v>Predicted future video/state</x:v>
      </x:c>
      <x:c r="I29" s="6" t="str">
        <x:v>Model</x:v>
      </x:c>
      <x:c r="J29" s="6" t="str">
        <x:v>3D Gaussians / future state</x:v>
      </x:c>
      <x:c r="K29" s="6" t="str">
        <x:v>World simulation</x:v>
      </x:c>
      <x:c r="L29" s="6" t="str">
        <x:v>Major</x:v>
      </x:c>
      <x:c r="M29" s="6" t="str">
        <x:v>Yes</x:v>
      </x:c>
      <x:c r="N29" s="6" t="str">
        <x:v>Asia</x:v>
      </x:c>
      <x:c r="O29" s="6" t="str">
        <x:v>Guanxing Lu; Baoxiong Jia; Puhao Li; Yixin Chen; Ziwei Wang; Yansong Tang; Siyuan Huang</x:v>
      </x:c>
      <x:c r="P29" s="6" t="str">
        <x:v>https://arxiv.org/abs/2508.17600</x:v>
      </x:c>
      <x:c r="Q29" s="6" t="str">
        <x:v>3D action-conditioned dynamics rather than raw RGB only</x:v>
      </x:c>
      <x:c r="R29" s="15" t="n">
        <x:v>0</x:v>
      </x:c>
      <x:c r="S29" s="15" t="str">
        <x:f>IF(R29="","",R29/MAX(1,2026-E29+1))</x:f>
      </x:c>
      <x:c r="T29" s="6" t="str">
        <x:v>OpenAlex cited_by_count; title/DOI matched; conference version preferred when indexed</x:v>
      </x:c>
      <x:c r="U29" s="6" t="str">
        <x:v>https://openalex.org/W7160109994</x:v>
      </x:c>
      <x:c r="V29" s="6" t="str">
        <x:v>2026-09-02</x:v>
      </x:c>
      <x:c r="W29" s="6" t="str"/>
    </x:row>
    <x:row r="30">
      <x:c r="A30" s="6" t="n">
        <x:f>IF(M30="Yes",1+COUNTIFS($M$2:$M$67,"Yes",$R$2:$R$67,"&gt;"&amp;R30),"")</x:f>
        <x:v>25</x:v>
      </x:c>
      <x:c r="B30" s="6" t="str">
        <x:f>IF(R30="","",1+COUNTIF($R$2:$R$67,"&gt;"&amp;R30))</x:f>
      </x:c>
      <x:c r="C30" s="6" t="str">
        <x:v>P038</x:v>
      </x:c>
      <x:c r="D30" s="6" t="str">
        <x:v>PointWorld: Scaling 3D World Models for In-the-Wild Robotic Manipulation</x:v>
      </x:c>
      <x:c r="E30" s="6" t="n">
        <x:v>2026</x:v>
      </x:c>
      <x:c r="F30" s="6" t="str">
        <x:v>Bridge</x:v>
      </x:c>
      <x:c r="G30" s="6" t="str">
        <x:v>G2</x:v>
      </x:c>
      <x:c r="H30" s="6" t="str">
        <x:v>Predicted future video/state</x:v>
      </x:c>
      <x:c r="I30" s="6" t="str">
        <x:v>Model</x:v>
      </x:c>
      <x:c r="J30" s="6" t="str">
        <x:v>3D point flows</x:v>
      </x:c>
      <x:c r="K30" s="6" t="str">
        <x:v>World simulation</x:v>
      </x:c>
      <x:c r="L30" s="6" t="str">
        <x:v>Emerging</x:v>
      </x:c>
      <x:c r="M30" s="6" t="str">
        <x:v>Yes</x:v>
      </x:c>
      <x:c r="N30" s="6" t="str">
        <x:v>US</x:v>
      </x:c>
      <x:c r="O30" s="6" t="str">
        <x:v>Wenlong Huang; Yu-Wei Chao; Arsalan Mousavian; Ming-Yu Liu; Dieter Fox; Kaichun Mo; Fei-Fei Li</x:v>
      </x:c>
      <x:c r="P30" s="6" t="str">
        <x:v>https://arxiv.org/abs/2601.03782</x:v>
      </x:c>
      <x:c r="Q30" s="6" t="str">
        <x:v>Non-pixel predictive world model, useful architecture contrast</x:v>
      </x:c>
      <x:c r="R30" s="15" t="n">
        <x:v>0</x:v>
      </x:c>
      <x:c r="S30" s="15" t="str">
        <x:f>IF(R30="","",R30/MAX(1,2026-E30+1))</x:f>
      </x:c>
      <x:c r="T30" s="6" t="str">
        <x:v>OpenAlex cited_by_count; title/DOI matched; conference version preferred when indexed</x:v>
      </x:c>
      <x:c r="U30" s="6" t="str">
        <x:v>https://openalex.org/W7119476772</x:v>
      </x:c>
      <x:c r="V30" s="6" t="str">
        <x:v>2026-09-02</x:v>
      </x:c>
      <x:c r="W30" s="6" t="str">
        <x:v>G2: robot actions condition prediction and the model outputs future 3D point flow, not actions.</x:v>
      </x:c>
    </x:row>
    <x:row r="31">
      <x:c r="A31" s="6" t="n">
        <x:f>IF(M31="Yes",1+COUNTIFS($M$2:$M$67,"Yes",$R$2:$R$67,"&gt;"&amp;R31),"")</x:f>
        <x:v>25</x:v>
      </x:c>
      <x:c r="B31" s="6" t="str">
        <x:f>IF(R31="","",1+COUNTIF($R$2:$R$67,"&gt;"&amp;R31))</x:f>
      </x:c>
      <x:c r="C31" s="6" t="str">
        <x:v>P039</x:v>
      </x:c>
      <x:c r="D31" s="6" t="str">
        <x:v>RIGVid: Robots Imitating Generated Videos</x:v>
      </x:c>
      <x:c r="E31" s="6" t="n">
        <x:v>2025</x:v>
      </x:c>
      <x:c r="F31" s="6" t="str">
        <x:v>Bridge</x:v>
      </x:c>
      <x:c r="G31" s="6" t="str">
        <x:v>G1</x:v>
      </x:c>
      <x:c r="H31" s="6" t="str">
        <x:v>Generated image/video</x:v>
      </x:c>
      <x:c r="I31" s="6" t="str">
        <x:v>Model</x:v>
      </x:c>
      <x:c r="J31" s="6" t="str">
        <x:v>Generated demonstration video</x:v>
      </x:c>
      <x:c r="K31" s="6" t="str">
        <x:v>Data generation</x:v>
      </x:c>
      <x:c r="L31" s="6" t="str">
        <x:v>Emerging</x:v>
      </x:c>
      <x:c r="M31" s="6" t="str">
        <x:v>Yes</x:v>
      </x:c>
      <x:c r="N31" s="6" t="str">
        <x:v>Europe</x:v>
      </x:c>
      <x:c r="O31" s="6" t="str">
        <x:v>Authors per paper</x:v>
      </x:c>
      <x:c r="P31" s="6" t="str">
        <x:v>https://arxiv.org/abs/2507.00990</x:v>
      </x:c>
      <x:c r="Q31" s="6" t="str">
        <x:v>Generated video substitutes for physical demonstrations</x:v>
      </x:c>
      <x:c r="R31" s="15" t="n">
        <x:v>0</x:v>
      </x:c>
      <x:c r="S31" s="15" t="str">
        <x:f>IF(R31="","",R31/MAX(1,2026-E31+1))</x:f>
      </x:c>
      <x:c r="T31" s="6" t="str">
        <x:v>OpenAlex cited_by_count; title/DOI matched; conference version preferred when indexed</x:v>
      </x:c>
      <x:c r="U31" s="6" t="str">
        <x:v>https://api.openalex.org/works/https://doi.org/10.48550/arXiv.2507.00990</x:v>
      </x:c>
      <x:c r="V31" s="6" t="str">
        <x:v>2026-09-02</x:v>
      </x:c>
      <x:c r="W31" s="6" t="str"/>
    </x:row>
    <x:row r="32">
      <x:c r="A32" s="6" t="n">
        <x:f>IF(M32="Yes",1+COUNTIFS($M$2:$M$67,"Yes",$R$2:$R$67,"&gt;"&amp;R32),"")</x:f>
        <x:v>1</x:v>
      </x:c>
      <x:c r="B32" s="6" t="str">
        <x:f>IF(R32="","",1+COUNTIF($R$2:$R$67,"&gt;"&amp;R32))</x:f>
      </x:c>
      <x:c r="C32" s="6" t="str">
        <x:v>P032</x:v>
      </x:c>
      <x:c r="D32" s="6" t="str">
        <x:v>1X World Model</x:v>
      </x:c>
      <x:c r="E32" s="6" t="n">
        <x:v>2025</x:v>
      </x:c>
      <x:c r="F32" s="6" t="str">
        <x:v>Bridge</x:v>
      </x:c>
      <x:c r="G32" s="6" t="str">
        <x:v>G2</x:v>
      </x:c>
      <x:c r="H32" s="6" t="str">
        <x:v>Predicted future video/state</x:v>
      </x:c>
      <x:c r="I32" s="6" t="str">
        <x:v>Model card</x:v>
      </x:c>
      <x:c r="J32" s="6" t="str">
        <x:v>Action-conditioned future pixels</x:v>
      </x:c>
      <x:c r="K32" s="6" t="str">
        <x:v>World simulation</x:v>
      </x:c>
      <x:c r="L32" s="6" t="str">
        <x:v>Emerging</x:v>
      </x:c>
      <x:c r="M32" s="6" t="str">
        <x:v>Yes</x:v>
      </x:c>
      <x:c r="N32" s="6" t="str">
        <x:v>US</x:v>
      </x:c>
      <x:c r="O32" s="6" t="str">
        <x:v>1X World Model Lab</x:v>
      </x:c>
      <x:c r="P32" s="6" t="str">
        <x:v>https://www.1x.tech/discover/world-model-self-learning</x:v>
      </x:c>
      <x:c r="Q32" s="6" t="str">
        <x:v>Robot video world model and self-learning system</x:v>
      </x:c>
      <x:c r="R32" s="15"/>
      <x:c r="S32" s="15" t="str">
        <x:f>IF(R32="","",R32/MAX(1,2026-E32+1))</x:f>
      </x:c>
      <x:c r="T32" s="6" t="str">
        <x:v>Not indexed in the OpenAlex snapshot; excluded from citation ranking</x:v>
      </x:c>
      <x:c r="U32" s="6" t="str">
        <x:v>https://www.1x.tech/discover/1x-world-model-lab</x:v>
      </x:c>
      <x:c r="V32" s="6" t="str">
        <x:v>2026-09-02</x:v>
      </x:c>
      <x:c r="W32" s="6" t="str"/>
    </x:row>
    <x:row r="33">
      <x:c r="A33" s="6" t="str">
        <x:f>IF(M33="Yes",1+COUNTIFS($M$2:$M$67,"Yes",$R$2:$R$67,"&gt;"&amp;R33),"")</x:f>
      </x:c>
      <x:c r="B33" s="6" t="n">
        <x:f>IF(R33="","",1+COUNTIF($R$2:$R$67,"&gt;"&amp;R33))</x:f>
        <x:v>5</x:v>
      </x:c>
      <x:c r="C33" s="6" t="str">
        <x:v>P031</x:v>
      </x:c>
      <x:c r="D33" s="6" t="str">
        <x:v>Diffusion Policy: Visuomotor Policy Learning via Action Diffusion</x:v>
      </x:c>
      <x:c r="E33" s="6" t="n">
        <x:v>2023</x:v>
      </x:c>
      <x:c r="F33" s="6" t="str">
        <x:v>Robotics</x:v>
      </x:c>
      <x:c r="G33" s="6"/>
      <x:c r="H33" s="6" t="str">
        <x:v>Action trajectory/tokens</x:v>
      </x:c>
      <x:c r="I33" s="6" t="str">
        <x:v>Model</x:v>
      </x:c>
      <x:c r="J33" s="6" t="str">
        <x:v>Action trajectories</x:v>
      </x:c>
      <x:c r="K33" s="6" t="str">
        <x:v>Direct policy</x:v>
      </x:c>
      <x:c r="L33" s="6" t="str">
        <x:v>Landmark</x:v>
      </x:c>
      <x:c r="M33" s="6" t="str">
        <x:v>Adjacent</x:v>
      </x:c>
      <x:c r="N33" s="6" t="str">
        <x:v>US</x:v>
      </x:c>
      <x:c r="O33" s="6" t="str">
        <x:v>Cheng Chi; Zhenjia Xu; Siyuan Feng; Eric Cousineau; Yilun Du et al.</x:v>
      </x:c>
      <x:c r="P33" s="6" t="str">
        <x:v>https://arxiv.org/abs/2303.04137</x:v>
      </x:c>
      <x:c r="Q33" s="6" t="str">
        <x:v>Generative architecture in action space, not video generation</x:v>
      </x:c>
      <x:c r="R33" s="15" t="n">
        <x:v>480</x:v>
      </x:c>
      <x:c r="S33" s="15" t="n">
        <x:f>IF(R33="","",R33/MAX(1,2026-E33+1))</x:f>
        <x:v>120</x:v>
      </x:c>
      <x:c r="T33" s="6" t="str">
        <x:v>OpenAlex cited_by_count; title/DOI matched; conference version preferred when indexed</x:v>
      </x:c>
      <x:c r="U33" s="6" t="str">
        <x:v>https://openalex.org/W4403337227</x:v>
      </x:c>
      <x:c r="V33" s="6" t="str">
        <x:v>2026-09-02</x:v>
      </x:c>
      <x:c r="W33" s="6" t="str"/>
    </x:row>
    <x:row r="34">
      <x:c r="A34" s="6" t="str">
        <x:f>IF(M34="Yes",1+COUNTIFS($M$2:$M$67,"Yes",$R$2:$R$67,"&gt;"&amp;R34),"")</x:f>
      </x:c>
      <x:c r="B34" s="6" t="n">
        <x:f>IF(R34="","",1+COUNTIF($R$2:$R$67,"&gt;"&amp;R34))</x:f>
        <x:v>6</x:v>
      </x:c>
      <x:c r="C34" s="6" t="str">
        <x:v>P047</x:v>
      </x:c>
      <x:c r="D34" s="6" t="str">
        <x:v>Action-Conditional Video Prediction using Deep Networks in Atari Games</x:v>
      </x:c>
      <x:c r="E34" s="6" t="n">
        <x:v>2015</x:v>
      </x:c>
      <x:c r="F34" s="6" t="str">
        <x:v>Interactive WM</x:v>
      </x:c>
      <x:c r="G34" s="6" t="str">
        <x:v>G2</x:v>
      </x:c>
      <x:c r="H34" s="6" t="str">
        <x:v>Predicted future video/state</x:v>
      </x:c>
      <x:c r="I34" s="6" t="str">
        <x:v>Model</x:v>
      </x:c>
      <x:c r="J34" s="6" t="str">
        <x:v>Action-conditioned next frames</x:v>
      </x:c>
      <x:c r="K34" s="6" t="str">
        <x:v>World simulation</x:v>
      </x:c>
      <x:c r="L34" s="6" t="str">
        <x:v>Landmark</x:v>
      </x:c>
      <x:c r="M34" s="6" t="str">
        <x:v>Adjacent</x:v>
      </x:c>
      <x:c r="N34" s="6" t="str">
        <x:v>US</x:v>
      </x:c>
      <x:c r="O34" s="6" t="str">
        <x:v>Junhyuk Oh; Xiaoxiao Guo; Honglak Lee; Richard Lewis; Satinder Singh</x:v>
      </x:c>
      <x:c r="P34" s="6" t="str">
        <x:v>https://dl.acm.org/doi/10.5555/2969442.2969560</x:v>
      </x:c>
      <x:c r="Q34" s="6" t="str">
        <x:v>Early action-to-future-frame baseline for the interactive visual world-model lineage; no robot transfer claim</x:v>
      </x:c>
      <x:c r="R34" s="15" t="n">
        <x:v>449</x:v>
      </x:c>
      <x:c r="S34" s="15" t="n">
        <x:f>IF(R34="","",R34/MAX(1,2026-E34+1))</x:f>
        <x:v>37.416666666666664</x:v>
      </x:c>
      <x:c r="T34" s="6" t="str">
        <x:v>OpenAlex cited_by_count; title/DOI matched; conference version preferred when indexed</x:v>
      </x:c>
      <x:c r="U34" s="6" t="str">
        <x:v>https://openalex.org/W2118688707</x:v>
      </x:c>
      <x:c r="V34" s="6" t="str">
        <x:v>2026-09-02</x:v>
      </x:c>
      <x:c r="W34" s="6" t="str"/>
    </x:row>
    <x:row r="35">
      <x:c r="A35" s="6" t="str">
        <x:f>IF(M35="Yes",1+COUNTIFS($M$2:$M$67,"Yes",$R$2:$R$67,"&gt;"&amp;R35),"")</x:f>
      </x:c>
      <x:c r="B35" s="6" t="n">
        <x:f>IF(R35="","",1+COUNTIF($R$2:$R$67,"&gt;"&amp;R35))</x:f>
        <x:v>8</x:v>
      </x:c>
      <x:c r="C35" s="6" t="str">
        <x:v>P028</x:v>
      </x:c>
      <x:c r="D35" s="6" t="str">
        <x:v>RT-2: Vision-Language-Action Models Transfer Web Knowledge to Robotic Control</x:v>
      </x:c>
      <x:c r="E35" s="6" t="n">
        <x:v>2023</x:v>
      </x:c>
      <x:c r="F35" s="6" t="str">
        <x:v>Robotics</x:v>
      </x:c>
      <x:c r="G35" s="6"/>
      <x:c r="H35" s="6" t="str">
        <x:v>Action trajectory/tokens</x:v>
      </x:c>
      <x:c r="I35" s="6" t="str">
        <x:v>Model</x:v>
      </x:c>
      <x:c r="J35" s="6" t="str">
        <x:v>Robot action tokens</x:v>
      </x:c>
      <x:c r="K35" s="6" t="str">
        <x:v>Direct policy</x:v>
      </x:c>
      <x:c r="L35" s="6" t="str">
        <x:v>Landmark</x:v>
      </x:c>
      <x:c r="M35" s="6" t="str">
        <x:v>Adjacent</x:v>
      </x:c>
      <x:c r="N35" s="6" t="str">
        <x:v>US</x:v>
      </x:c>
      <x:c r="O35" s="6" t="str">
        <x:v>Anthony Brohan et al.</x:v>
      </x:c>
      <x:c r="P35" s="6" t="str">
        <x:v>https://arxiv.org/abs/2307.15818</x:v>
      </x:c>
      <x:c r="Q35" s="6" t="str">
        <x:v>Key VLA control baseline; not specifically video-origin</x:v>
      </x:c>
      <x:c r="R35" s="15" t="n">
        <x:v>273</x:v>
      </x:c>
      <x:c r="S35" s="15" t="n">
        <x:f>IF(R35="","",R35/MAX(1,2026-E35+1))</x:f>
        <x:v>68.25</x:v>
      </x:c>
      <x:c r="T35" s="6" t="str">
        <x:v>OpenAlex cited_by_count; title/DOI matched; conference version preferred when indexed</x:v>
      </x:c>
      <x:c r="U35" s="6" t="str">
        <x:v>https://openalex.org/W4385473486</x:v>
      </x:c>
      <x:c r="V35" s="6" t="str">
        <x:v>2026-09-02</x:v>
      </x:c>
      <x:c r="W35" s="6" t="str"/>
    </x:row>
    <x:row r="36">
      <x:c r="A36" s="6" t="str">
        <x:f>IF(M36="Yes",1+COUNTIFS($M$2:$M$67,"Yes",$R$2:$R$67,"&gt;"&amp;R36),"")</x:f>
      </x:c>
      <x:c r="B36" s="6" t="n">
        <x:f>IF(R36="","",1+COUNTIF($R$2:$R$67,"&gt;"&amp;R36))</x:f>
        <x:v>10</x:v>
      </x:c>
      <x:c r="C36" s="6" t="str">
        <x:v>P033</x:v>
      </x:c>
      <x:c r="D36" s="6" t="str">
        <x:v>CoTracker: It is Better to Track Together</x:v>
      </x:c>
      <x:c r="E36" s="6" t="n">
        <x:v>2023</x:v>
      </x:c>
      <x:c r="F36" s="6" t="str">
        <x:v>Video</x:v>
      </x:c>
      <x:c r="G36" s="6" t="str">
        <x:v>U2</x:v>
      </x:c>
      <x:c r="H36" s="6" t="str">
        <x:v>Representation/reward/value</x:v>
      </x:c>
      <x:c r="I36" s="6" t="str">
        <x:v>Model</x:v>
      </x:c>
      <x:c r="J36" s="6" t="str">
        <x:v>Point trajectories</x:v>
      </x:c>
      <x:c r="K36" s="6" t="str">
        <x:v>Perception backbone</x:v>
      </x:c>
      <x:c r="L36" s="6" t="str">
        <x:v>Landmark</x:v>
      </x:c>
      <x:c r="M36" s="6" t="str">
        <x:v>Adjacent</x:v>
      </x:c>
      <x:c r="N36" s="6" t="str">
        <x:v>Europe</x:v>
      </x:c>
      <x:c r="O36" s="6" t="str">
        <x:v>Nikita Karaev; Ignacio Rocco; Benjamin Graham; Natalia Neverova; Andrea Vedaldi; Christian Rupprecht</x:v>
      </x:c>
      <x:c r="P36" s="6" t="str">
        <x:v>https://arxiv.org/abs/2307.07635</x:v>
      </x:c>
      <x:c r="Q36" s="6" t="str">
        <x:v>Strong motion representation feeding world-model research</x:v>
      </x:c>
      <x:c r="R36" s="15" t="n">
        <x:v>166</x:v>
      </x:c>
      <x:c r="S36" s="15" t="n">
        <x:f>IF(R36="","",R36/MAX(1,2026-E36+1))</x:f>
        <x:v>41.5</x:v>
      </x:c>
      <x:c r="T36" s="6" t="str">
        <x:v>OpenAlex cited_by_count; title/DOI matched; conference version preferred when indexed</x:v>
      </x:c>
      <x:c r="U36" s="6" t="str">
        <x:v>https://openalex.org/W4403906568</x:v>
      </x:c>
      <x:c r="V36" s="6" t="str">
        <x:v>2026-09-02</x:v>
      </x:c>
      <x:c r="W36" s="6" t="str"/>
    </x:row>
    <x:row r="37">
      <x:c r="A37" s="6" t="str">
        <x:f>IF(M37="Yes",1+COUNTIFS($M$2:$M$67,"Yes",$R$2:$R$67,"&gt;"&amp;R37),"")</x:f>
      </x:c>
      <x:c r="B37" s="6" t="n">
        <x:f>IF(R37="","",1+COUNTIF($R$2:$R$67,"&gt;"&amp;R37))</x:f>
        <x:v>13</x:v>
      </x:c>
      <x:c r="C37" s="6" t="str">
        <x:v>P008</x:v>
      </x:c>
      <x:c r="D37" s="6" t="str">
        <x:v>Stochastic Variational Video Prediction (SV2P)</x:v>
      </x:c>
      <x:c r="E37" s="6" t="n">
        <x:v>2017</x:v>
      </x:c>
      <x:c r="F37" s="6" t="str">
        <x:v>Video</x:v>
      </x:c>
      <x:c r="G37" s="6" t="str">
        <x:v>G2</x:v>
      </x:c>
      <x:c r="H37" s="6" t="str">
        <x:v>Predicted future video/state</x:v>
      </x:c>
      <x:c r="I37" s="6" t="str">
        <x:v>Model</x:v>
      </x:c>
      <x:c r="J37" s="6" t="str">
        <x:v>Future pixels</x:v>
      </x:c>
      <x:c r="K37" s="6" t="str">
        <x:v>Planning</x:v>
      </x:c>
      <x:c r="L37" s="6" t="str">
        <x:v>Landmark</x:v>
      </x:c>
      <x:c r="M37" s="6" t="str">
        <x:v>Adjacent</x:v>
      </x:c>
      <x:c r="N37" s="6" t="str">
        <x:v>US</x:v>
      </x:c>
      <x:c r="O37" s="6" t="str">
        <x:v>Mohammad Babaeizadeh; Chelsea Finn; Dumitru Erhan; Roy Campbell; Sergey Levine</x:v>
      </x:c>
      <x:c r="P37" s="6" t="str">
        <x:v>https://arxiv.org/abs/1710.11252</x:v>
      </x:c>
      <x:c r="Q37" s="6" t="str">
        <x:v>Foundational stochastic future prediction with control relevance</x:v>
      </x:c>
      <x:c r="R37" s="15" t="n">
        <x:v>73</x:v>
      </x:c>
      <x:c r="S37" s="15" t="n">
        <x:f>IF(R37="","",R37/MAX(1,2026-E37+1))</x:f>
        <x:v>7.3</x:v>
      </x:c>
      <x:c r="T37" s="6" t="str">
        <x:v>OpenAlex cited_by_count; title/DOI matched; conference version preferred when indexed</x:v>
      </x:c>
      <x:c r="U37" s="6" t="str">
        <x:v>https://openalex.org/W2765363933</x:v>
      </x:c>
      <x:c r="V37" s="6" t="str">
        <x:v>2026-09-02</x:v>
      </x:c>
      <x:c r="W37" s="6" t="str"/>
    </x:row>
    <x:row r="38">
      <x:c r="A38" s="6" t="str">
        <x:f>IF(M38="Yes",1+COUNTIFS($M$2:$M$67,"Yes",$R$2:$R$67,"&gt;"&amp;R38),"")</x:f>
      </x:c>
      <x:c r="B38" s="6" t="n">
        <x:f>IF(R38="","",1+COUNTIF($R$2:$R$67,"&gt;"&amp;R38))</x:f>
        <x:v>14</x:v>
      </x:c>
      <x:c r="C38" s="6" t="str">
        <x:v>P019</x:v>
      </x:c>
      <x:c r="D38" s="6" t="str">
        <x:v>VIMA: General Robot Manipulation with Multimodal Prompts</x:v>
      </x:c>
      <x:c r="E38" s="6" t="n">
        <x:v>2023</x:v>
      </x:c>
      <x:c r="F38" s="6" t="str">
        <x:v>Robotics</x:v>
      </x:c>
      <x:c r="G38" s="6"/>
      <x:c r="H38" s="6" t="str">
        <x:v>Action trajectory/tokens</x:v>
      </x:c>
      <x:c r="I38" s="6" t="str">
        <x:v>Model</x:v>
      </x:c>
      <x:c r="J38" s="6" t="str">
        <x:v>Robot actions</x:v>
      </x:c>
      <x:c r="K38" s="6" t="str">
        <x:v>Direct policy</x:v>
      </x:c>
      <x:c r="L38" s="6" t="str">
        <x:v>Landmark</x:v>
      </x:c>
      <x:c r="M38" s="6" t="str">
        <x:v>Adjacent</x:v>
      </x:c>
      <x:c r="N38" s="6" t="str">
        <x:v>US</x:v>
      </x:c>
      <x:c r="O38" s="6" t="str">
        <x:v>Yunfan Jiang; Agrim Gupta; Zichen Zhang; Guanzhi Wang et al.</x:v>
      </x:c>
      <x:c r="P38" s="6" t="str">
        <x:v>https://openreview.net/forum?id=oU2DzdTI94</x:v>
      </x:c>
      <x:c r="Q38" s="6" t="str">
        <x:v>Important prompt-conditioned robot policy</x:v>
      </x:c>
      <x:c r="R38" s="15" t="n">
        <x:v>65</x:v>
      </x:c>
      <x:c r="S38" s="15" t="n">
        <x:f>IF(R38="","",R38/MAX(1,2026-E38+1))</x:f>
        <x:v>16.25</x:v>
      </x:c>
      <x:c r="T38" s="6" t="str">
        <x:v>OpenAlex cited_by_count; title/DOI matched; conference version preferred when indexed</x:v>
      </x:c>
      <x:c r="U38" s="6" t="str">
        <x:v>https://openalex.org/W4303648971</x:v>
      </x:c>
      <x:c r="V38" s="6" t="str">
        <x:v>2026-09-02</x:v>
      </x:c>
      <x:c r="W38" s="6" t="str">
        <x:v>VIMA is an action-output multimodal robot policy; it is not classified as video-language evidence in the strict video-origin axis.</x:v>
      </x:c>
    </x:row>
    <x:row r="39">
      <x:c r="A39" s="6" t="str">
        <x:f>IF(M39="Yes",1+COUNTIFS($M$2:$M$67,"Yes",$R$2:$R$67,"&gt;"&amp;R39),"")</x:f>
      </x:c>
      <x:c r="B39" s="6" t="n">
        <x:f>IF(R39="","",1+COUNTIF($R$2:$R$67,"&gt;"&amp;R39))</x:f>
        <x:v>15</x:v>
      </x:c>
      <x:c r="C39" s="6" t="str">
        <x:v>P024</x:v>
      </x:c>
      <x:c r="D39" s="6" t="str">
        <x:v>MineDojo: Building Open-Ended Embodied Agents with Internet-Scale Knowledge</x:v>
      </x:c>
      <x:c r="E39" s="6" t="n">
        <x:v>2022</x:v>
      </x:c>
      <x:c r="F39" s="6" t="str">
        <x:v>Bridge</x:v>
      </x:c>
      <x:c r="G39" s="6" t="str">
        <x:v>VL</x:v>
      </x:c>
      <x:c r="H39" s="6" t="str">
        <x:v>Representation/reward/value</x:v>
      </x:c>
      <x:c r="I39" s="6" t="str">
        <x:v>Benchmark / platform</x:v>
      </x:c>
      <x:c r="J39" s="6" t="str">
        <x:v>Video-language reward</x:v>
      </x:c>
      <x:c r="K39" s="6" t="str">
        <x:v>Reward / affordance</x:v>
      </x:c>
      <x:c r="L39" s="6" t="str">
        <x:v>Landmark</x:v>
      </x:c>
      <x:c r="M39" s="6" t="str">
        <x:v>Adjacent</x:v>
      </x:c>
      <x:c r="N39" s="6" t="str">
        <x:v>US</x:v>
      </x:c>
      <x:c r="O39" s="6" t="str">
        <x:v>Linxi Fan; Guanzhi Wang; Yunfan Jiang; Ajay Mandlekar; Yuncong Yang; Yuke Zhu; Tim Rocktäschel et al.</x:v>
      </x:c>
      <x:c r="P39" s="6" t="str">
        <x:v>https://arxiv.org/abs/2206.08853</x:v>
      </x:c>
      <x:c r="Q39" s="6" t="str">
        <x:v>Video-language model as learned reward for embodied agents</x:v>
      </x:c>
      <x:c r="R39" s="15" t="n">
        <x:v>59</x:v>
      </x:c>
      <x:c r="S39" s="15" t="n">
        <x:f>IF(R39="","",R39/MAX(1,2026-E39+1))</x:f>
        <x:v>11.8</x:v>
      </x:c>
      <x:c r="T39" s="6" t="str">
        <x:v>OpenAlex cited_by_count; title/DOI matched; conference version preferred when indexed</x:v>
      </x:c>
      <x:c r="U39" s="6" t="str">
        <x:v>https://openalex.org/W4283218993</x:v>
      </x:c>
      <x:c r="V39" s="6" t="str">
        <x:v>2026-09-02</x:v>
      </x:c>
      <x:c r="W39" s="6" t="str">
        <x:v>MineDojo is an embodied-agent benchmark/platform without a physical-robot experiment; counted as adjacent context.</x:v>
      </x:c>
    </x:row>
    <x:row r="40">
      <x:c r="A40" s="6" t="str">
        <x:f>IF(M40="Yes",1+COUNTIFS($M$2:$M$67,"Yes",$R$2:$R$67,"&gt;"&amp;R40),"")</x:f>
      </x:c>
      <x:c r="B40" s="6" t="n">
        <x:f>IF(R40="","",1+COUNTIF($R$2:$R$67,"&gt;"&amp;R40))</x:f>
        <x:v>16</x:v>
      </x:c>
      <x:c r="C40" s="6" t="str">
        <x:v>P029</x:v>
      </x:c>
      <x:c r="D40" s="6" t="str">
        <x:v>OpenVLA: An Open-Source Vision-Language-Action Model</x:v>
      </x:c>
      <x:c r="E40" s="6" t="n">
        <x:v>2024</x:v>
      </x:c>
      <x:c r="F40" s="6" t="str">
        <x:v>Robotics</x:v>
      </x:c>
      <x:c r="G40" s="6"/>
      <x:c r="H40" s="6" t="str">
        <x:v>Action trajectory/tokens</x:v>
      </x:c>
      <x:c r="I40" s="6" t="str">
        <x:v>Model</x:v>
      </x:c>
      <x:c r="J40" s="6" t="str">
        <x:v>Robot actions</x:v>
      </x:c>
      <x:c r="K40" s="6" t="str">
        <x:v>Direct policy</x:v>
      </x:c>
      <x:c r="L40" s="6" t="str">
        <x:v>Landmark</x:v>
      </x:c>
      <x:c r="M40" s="6" t="str">
        <x:v>Adjacent</x:v>
      </x:c>
      <x:c r="N40" s="6" t="str">
        <x:v>US</x:v>
      </x:c>
      <x:c r="O40" s="6" t="str">
        <x:v>Moo Jin Kim et al.</x:v>
      </x:c>
      <x:c r="P40" s="6" t="str">
        <x:v>https://arxiv.org/abs/2406.09246</x:v>
      </x:c>
      <x:c r="Q40" s="6" t="str">
        <x:v>Open VLA baseline and robotics importance anchor</x:v>
      </x:c>
      <x:c r="R40" s="15" t="n">
        <x:v>43</x:v>
      </x:c>
      <x:c r="S40" s="15" t="n">
        <x:f>IF(R40="","",R40/MAX(1,2026-E40+1))</x:f>
        <x:v>14.333333333333334</x:v>
      </x:c>
      <x:c r="T40" s="6" t="str">
        <x:v>OpenAlex cited_by_count; title/DOI matched; conference version preferred when indexed</x:v>
      </x:c>
      <x:c r="U40" s="6" t="str">
        <x:v>https://openalex.org/W4399695759</x:v>
      </x:c>
      <x:c r="V40" s="6" t="str">
        <x:v>2026-09-02</x:v>
      </x:c>
      <x:c r="W40" s="6" t="str"/>
    </x:row>
    <x:row r="41">
      <x:c r="A41" s="6" t="str">
        <x:f>IF(M41="Yes",1+COUNTIFS($M$2:$M$67,"Yes",$R$2:$R$67,"&gt;"&amp;R41),"")</x:f>
      </x:c>
      <x:c r="B41" s="6" t="n">
        <x:f>IF(R41="","",1+COUNTIF($R$2:$R$67,"&gt;"&amp;R41))</x:f>
        <x:v>18</x:v>
      </x:c>
      <x:c r="C41" s="6" t="str">
        <x:v>P010</x:v>
      </x:c>
      <x:c r="D41" s="6" t="str">
        <x:v>FitVid: Overfitting in Pixel-Level Video Prediction</x:v>
      </x:c>
      <x:c r="E41" s="6" t="n">
        <x:v>2021</x:v>
      </x:c>
      <x:c r="F41" s="6" t="str">
        <x:v>Video</x:v>
      </x:c>
      <x:c r="G41" s="6" t="str">
        <x:v>G2</x:v>
      </x:c>
      <x:c r="H41" s="6" t="str">
        <x:v>Predicted future video/state</x:v>
      </x:c>
      <x:c r="I41" s="6" t="str">
        <x:v>Model</x:v>
      </x:c>
      <x:c r="J41" s="6" t="str">
        <x:v>Future pixels</x:v>
      </x:c>
      <x:c r="K41" s="6" t="str">
        <x:v>World simulation</x:v>
      </x:c>
      <x:c r="L41" s="6" t="str">
        <x:v>Major</x:v>
      </x:c>
      <x:c r="M41" s="6" t="str">
        <x:v>Adjacent</x:v>
      </x:c>
      <x:c r="N41" s="6" t="str">
        <x:v>US</x:v>
      </x:c>
      <x:c r="O41" s="6" t="str">
        <x:v>Mohammad Babaeizadeh et al.</x:v>
      </x:c>
      <x:c r="P41" s="6" t="str">
        <x:v>https://arxiv.org/abs/2106.13195</x:v>
      </x:c>
      <x:c r="Q41" s="6" t="str">
        <x:v>Important pixel-level video prediction baseline</x:v>
      </x:c>
      <x:c r="R41" s="15" t="n">
        <x:v>29</x:v>
      </x:c>
      <x:c r="S41" s="15" t="n">
        <x:f>IF(R41="","",R41/MAX(1,2026-E41+1))</x:f>
        <x:v>4.833333333333333</x:v>
      </x:c>
      <x:c r="T41" s="6" t="str">
        <x:v>OpenAlex cited_by_count; title/DOI matched; conference version preferred when indexed</x:v>
      </x:c>
      <x:c r="U41" s="6" t="str">
        <x:v>https://openalex.org/W3174394676</x:v>
      </x:c>
      <x:c r="V41" s="6" t="str">
        <x:v>2026-09-02</x:v>
      </x:c>
      <x:c r="W41" s="6" t="str"/>
    </x:row>
    <x:row r="42">
      <x:c r="A42" s="6" t="str">
        <x:f>IF(M42="Yes",1+COUNTIFS($M$2:$M$67,"Yes",$R$2:$R$67,"&gt;"&amp;R42),"")</x:f>
      </x:c>
      <x:c r="B42" s="6" t="n">
        <x:f>IF(R42="","",1+COUNTIF($R$2:$R$67,"&gt;"&amp;R42))</x:f>
        <x:v>20</x:v>
      </x:c>
      <x:c r="C42" s="6" t="str">
        <x:v>P006</x:v>
      </x:c>
      <x:c r="D42" s="6" t="str">
        <x:v>TAP-Vid: A Benchmark for Tracking Any Point in a Video</x:v>
      </x:c>
      <x:c r="E42" s="6" t="n">
        <x:v>2022</x:v>
      </x:c>
      <x:c r="F42" s="6" t="str">
        <x:v>Video</x:v>
      </x:c>
      <x:c r="G42" s="6" t="str">
        <x:v>U2</x:v>
      </x:c>
      <x:c r="H42" s="6" t="str">
        <x:v>Dataset/benchmark</x:v>
      </x:c>
      <x:c r="I42" s="6" t="str">
        <x:v>Benchmark</x:v>
      </x:c>
      <x:c r="J42" s="6" t="str">
        <x:v>Point trajectories</x:v>
      </x:c>
      <x:c r="K42" s="6" t="str">
        <x:v>Perception backbone</x:v>
      </x:c>
      <x:c r="L42" s="6" t="str">
        <x:v>Major</x:v>
      </x:c>
      <x:c r="M42" s="6" t="str">
        <x:v>Adjacent</x:v>
      </x:c>
      <x:c r="N42" s="6" t="str">
        <x:v>Europe</x:v>
      </x:c>
      <x:c r="O42" s="6" t="str">
        <x:v>Carl Doersch; Ankush Gupta; Larisa Markeeva; João Carreira et al.</x:v>
      </x:c>
      <x:c r="P42" s="6" t="str">
        <x:v>https://arxiv.org/abs/2211.03726</x:v>
      </x:c>
      <x:c r="Q42" s="6" t="str">
        <x:v>Motion/geometry understanding useful for embodied control</x:v>
      </x:c>
      <x:c r="R42" s="15" t="n">
        <x:v>26</x:v>
      </x:c>
      <x:c r="S42" s="15" t="n">
        <x:f>IF(R42="","",R42/MAX(1,2026-E42+1))</x:f>
        <x:v>5.2</x:v>
      </x:c>
      <x:c r="T42" s="6" t="str">
        <x:v>OpenAlex cited_by_count; title/DOI matched; conference version preferred when indexed</x:v>
      </x:c>
      <x:c r="U42" s="6" t="str">
        <x:v>https://openalex.org/W4308619093</x:v>
      </x:c>
      <x:c r="V42" s="6" t="str">
        <x:v>2026-09-02</x:v>
      </x:c>
      <x:c r="W42" s="6" t="str"/>
    </x:row>
    <x:row r="43">
      <x:c r="A43" s="6" t="str">
        <x:f>IF(M43="Yes",1+COUNTIFS($M$2:$M$67,"Yes",$R$2:$R$67,"&gt;"&amp;R43),"")</x:f>
      </x:c>
      <x:c r="B43" s="6" t="n">
        <x:f>IF(R43="","",1+COUNTIF($R$2:$R$67,"&gt;"&amp;R43))</x:f>
        <x:v>31</x:v>
      </x:c>
      <x:c r="C43" s="6" t="str">
        <x:v>P051</x:v>
      </x:c>
      <x:c r="D43" s="6" t="str">
        <x:v>Genie: Generative Interactive Environments</x:v>
      </x:c>
      <x:c r="E43" s="6" t="n">
        <x:v>2024</x:v>
      </x:c>
      <x:c r="F43" s="6" t="str">
        <x:v>Interactive WM</x:v>
      </x:c>
      <x:c r="G43" s="6" t="str">
        <x:v>G2</x:v>
      </x:c>
      <x:c r="H43" s="6" t="str">
        <x:v>Predicted future video/state</x:v>
      </x:c>
      <x:c r="I43" s="6" t="str">
        <x:v>Model</x:v>
      </x:c>
      <x:c r="J43" s="6" t="str">
        <x:v>Latent-action-conditioned future video</x:v>
      </x:c>
      <x:c r="K43" s="6" t="str">
        <x:v>World simulation</x:v>
      </x:c>
      <x:c r="L43" s="6" t="str">
        <x:v>Landmark</x:v>
      </x:c>
      <x:c r="M43" s="6" t="str">
        <x:v>Adjacent</x:v>
      </x:c>
      <x:c r="N43" s="6" t="str">
        <x:v>Europe</x:v>
      </x:c>
      <x:c r="O43" s="6" t="str">
        <x:v>Jake Bruce; Michael Dennis; Ashley Edwards; Jack Parker-Holder; Yuge Shi; Edward Hughes; Matthew Lai; Aditi Mavalankar; Richie Steigerwald; Chris Apps; Yusuf Aytar; Sarah Bechtle; Feryal Behbahani; Stephanie Chan; Nicolas Heess; Lucy Gonzalez; Simon Osindero; Sherjil Ozair; Scott Reed; Jingwei Zhang; Konrad Zolna; Jeff Clune; Nando de Freitas; Satinder Singh; Tim Rocktäschel</x:v>
      </x:c>
      <x:c r="P43" s="6" t="str">
        <x:v>https://arxiv.org/abs/2402.15391</x:v>
      </x:c>
      <x:c r="Q43" s="6" t="str">
        <x:v>Learns latent actions and generates controllable environments from video; no robot or physical-system deployment in the paper</x:v>
      </x:c>
      <x:c r="R43" s="15" t="n">
        <x:v>12</x:v>
      </x:c>
      <x:c r="S43" s="15" t="n">
        <x:f>IF(R43="","",R43/MAX(1,2026-E43+1))</x:f>
        <x:v>4</x:v>
      </x:c>
      <x:c r="T43" s="6" t="str">
        <x:v>OpenAlex cited_by_count; title/DOI matched; conference version preferred when indexed</x:v>
      </x:c>
      <x:c r="U43" s="6" t="str">
        <x:v>https://openalex.org/W4392182423</x:v>
      </x:c>
      <x:c r="V43" s="6" t="str">
        <x:v>2026-09-02</x:v>
      </x:c>
      <x:c r="W43" s="6" t="str"/>
    </x:row>
    <x:row r="44">
      <x:c r="A44" s="6" t="str">
        <x:f>IF(M44="Yes",1+COUNTIFS($M$2:$M$67,"Yes",$R$2:$R$67,"&gt;"&amp;R44),"")</x:f>
      </x:c>
      <x:c r="B44" s="6" t="n">
        <x:f>IF(R44="","",1+COUNTIF($R$2:$R$67,"&gt;"&amp;R44))</x:f>
        <x:v>33</x:v>
      </x:c>
      <x:c r="C44" s="6" t="str">
        <x:v>P050</x:v>
      </x:c>
      <x:c r="D44" s="6" t="str">
        <x:v>Promptable Game Models: Text-Guided Game Simulation via Masked Diffusion Models</x:v>
      </x:c>
      <x:c r="E44" s="6" t="n">
        <x:v>2023</x:v>
      </x:c>
      <x:c r="F44" s="6" t="str">
        <x:v>Interactive WM</x:v>
      </x:c>
      <x:c r="G44" s="6" t="str">
        <x:v>G2</x:v>
      </x:c>
      <x:c r="H44" s="6" t="str">
        <x:v>Predicted future video/state</x:v>
      </x:c>
      <x:c r="I44" s="6" t="str">
        <x:v>Model</x:v>
      </x:c>
      <x:c r="J44" s="6" t="str">
        <x:v>Prompt/action-conditioned game video</x:v>
      </x:c>
      <x:c r="K44" s="6" t="str">
        <x:v>World simulation</x:v>
      </x:c>
      <x:c r="L44" s="6" t="str">
        <x:v>Major</x:v>
      </x:c>
      <x:c r="M44" s="6" t="str">
        <x:v>Adjacent</x:v>
      </x:c>
      <x:c r="N44" s="6" t="str">
        <x:v>Europe</x:v>
      </x:c>
      <x:c r="O44" s="6" t="str">
        <x:v>Willi Menapace; Aliaksandr Siarohin; Stephane Lathuiliere; Panos Achlioptas; Vladislav Golyanik; Sergey Tulyakov; Elisa Ricci</x:v>
      </x:c>
      <x:c r="P44" s="6" t="str">
        <x:v>https://arxiv.org/abs/2303.13472</x:v>
      </x:c>
      <x:c r="Q44" s="6" t="str">
        <x:v>Extends playable video toward language and high-level action control; no direct robotics result</x:v>
      </x:c>
      <x:c r="R44" s="15" t="n">
        <x:v>11</x:v>
      </x:c>
      <x:c r="S44" s="15" t="n">
        <x:f>IF(R44="","",R44/MAX(1,2026-E44+1))</x:f>
        <x:v>2.75</x:v>
      </x:c>
      <x:c r="T44" s="6" t="str">
        <x:v>OpenAlex cited_by_count; title/DOI matched; conference version preferred when indexed</x:v>
      </x:c>
      <x:c r="U44" s="6" t="str">
        <x:v>https://openalex.org/W4389337838</x:v>
      </x:c>
      <x:c r="V44" s="6" t="str">
        <x:v>2026-09-02</x:v>
      </x:c>
      <x:c r="W44" s="6" t="str"/>
    </x:row>
    <x:row r="45">
      <x:c r="A45" s="6" t="str">
        <x:f>IF(M45="Yes",1+COUNTIFS($M$2:$M$67,"Yes",$R$2:$R$67,"&gt;"&amp;R45),"")</x:f>
      </x:c>
      <x:c r="B45" s="6" t="n">
        <x:f>IF(R45="","",1+COUNTIF($R$2:$R$67,"&gt;"&amp;R45))</x:f>
        <x:v>35</x:v>
      </x:c>
      <x:c r="C45" s="6" t="str">
        <x:v>P013</x:v>
      </x:c>
      <x:c r="D45" s="6" t="str">
        <x:v>SuSIE: Subgoal Synthesis via Image Editing</x:v>
      </x:c>
      <x:c r="E45" s="6" t="n">
        <x:v>2023</x:v>
      </x:c>
      <x:c r="F45" s="6" t="str">
        <x:v>Bridge</x:v>
      </x:c>
      <x:c r="G45" s="6" t="str">
        <x:v>G1</x:v>
      </x:c>
      <x:c r="H45" s="6" t="str">
        <x:v>Generated image/video</x:v>
      </x:c>
      <x:c r="I45" s="6" t="str">
        <x:v>Model</x:v>
      </x:c>
      <x:c r="J45" s="6" t="str">
        <x:v>Generated subgoal image</x:v>
      </x:c>
      <x:c r="K45" s="6" t="str">
        <x:v>Reward / affordance</x:v>
      </x:c>
      <x:c r="L45" s="6" t="str">
        <x:v>Major</x:v>
      </x:c>
      <x:c r="M45" s="6" t="str">
        <x:v>Adjacent</x:v>
      </x:c>
      <x:c r="N45" s="6" t="str">
        <x:v>US</x:v>
      </x:c>
      <x:c r="O45" s="6" t="str">
        <x:v>Kevin Black et al.</x:v>
      </x:c>
      <x:c r="P45" s="6" t="str">
        <x:v>https://arxiv.org/abs/2310.10639</x:v>
      </x:c>
      <x:c r="Q45" s="6" t="str">
        <x:v>Generation supplies actionable visual subgoals</x:v>
      </x:c>
      <x:c r="R45" s="15" t="n">
        <x:v>10</x:v>
      </x:c>
      <x:c r="S45" s="15" t="n">
        <x:f>IF(R45="","",R45/MAX(1,2026-E45+1))</x:f>
        <x:v>2.5</x:v>
      </x:c>
      <x:c r="T45" s="6" t="str">
        <x:v>OpenAlex cited_by_count; title/DOI matched; conference version preferred when indexed</x:v>
      </x:c>
      <x:c r="U45" s="6" t="str">
        <x:v>https://api.openalex.org/works/https://doi.org/10.48550/arXiv.2310.10639</x:v>
      </x:c>
      <x:c r="V45" s="6" t="str">
        <x:v>2026-09-02</x:v>
      </x:c>
      <x:c r="W45" s="6" t="str">
        <x:v>Image-editing comparator: adjacent to the video-generation lineage, but not counted as direct video evidence.</x:v>
      </x:c>
    </x:row>
    <x:row r="46">
      <x:c r="A46" s="6" t="str">
        <x:f>IF(M46="Yes",1+COUNTIFS($M$2:$M$67,"Yes",$R$2:$R$67,"&gt;"&amp;R46),"")</x:f>
      </x:c>
      <x:c r="B46" s="6" t="n">
        <x:f>IF(R46="","",1+COUNTIF($R$2:$R$67,"&gt;"&amp;R46))</x:f>
        <x:v>37</x:v>
      </x:c>
      <x:c r="C46" s="6" t="str">
        <x:v>P020</x:v>
      </x:c>
      <x:c r="D46" s="6" t="str">
        <x:v>RoboCat: A Self-Improving Generalist Agent for Robotic Manipulation</x:v>
      </x:c>
      <x:c r="E46" s="6" t="n">
        <x:v>2023</x:v>
      </x:c>
      <x:c r="F46" s="6" t="str">
        <x:v>Robotics</x:v>
      </x:c>
      <x:c r="G46" s="6"/>
      <x:c r="H46" s="6" t="str">
        <x:v>Action trajectory/tokens</x:v>
      </x:c>
      <x:c r="I46" s="6" t="str">
        <x:v>Model</x:v>
      </x:c>
      <x:c r="J46" s="6" t="str">
        <x:v>Robot actions</x:v>
      </x:c>
      <x:c r="K46" s="6" t="str">
        <x:v>Direct policy</x:v>
      </x:c>
      <x:c r="L46" s="6" t="str">
        <x:v>Landmark</x:v>
      </x:c>
      <x:c r="M46" s="6" t="str">
        <x:v>Adjacent</x:v>
      </x:c>
      <x:c r="N46" s="6" t="str">
        <x:v>Europe</x:v>
      </x:c>
      <x:c r="O46" s="6" t="str">
        <x:v>Google DeepMind team; co-lead Agrim Gupta</x:v>
      </x:c>
      <x:c r="P46" s="6" t="str">
        <x:v>https://openreview.net/forum?id=vsCpILiWHu</x:v>
      </x:c>
      <x:c r="Q46" s="6" t="str">
        <x:v>Generalist self-improving robotic agent</x:v>
      </x:c>
      <x:c r="R46" s="15" t="n">
        <x:v>9</x:v>
      </x:c>
      <x:c r="S46" s="15" t="n">
        <x:f>IF(R46="","",R46/MAX(1,2026-E46+1))</x:f>
        <x:v>2.25</x:v>
      </x:c>
      <x:c r="T46" s="6" t="str">
        <x:v>OpenAlex cited_by_count; title/DOI matched; conference version preferred when indexed</x:v>
      </x:c>
      <x:c r="U46" s="6" t="str">
        <x:v>https://openalex.org/W4381586832</x:v>
      </x:c>
      <x:c r="V46" s="6" t="str">
        <x:v>2026-09-02</x:v>
      </x:c>
      <x:c r="W46" s="6" t="str">
        <x:v>RoboCat is a robot policy trained on action-labelled visual experience; it is robotics evidence, not a direct video-model bridge.</x:v>
      </x:c>
    </x:row>
    <x:row r="47">
      <x:c r="A47" s="6" t="str">
        <x:f>IF(M47="Yes",1+COUNTIFS($M$2:$M$67,"Yes",$R$2:$R$67,"&gt;"&amp;R47),"")</x:f>
      </x:c>
      <x:c r="B47" s="6" t="n">
        <x:f>IF(R47="","",1+COUNTIF($R$2:$R$67,"&gt;"&amp;R47))</x:f>
        <x:v>42</x:v>
      </x:c>
      <x:c r="C47" s="6" t="str">
        <x:v>P034</x:v>
      </x:c>
      <x:c r="D47" s="6" t="str">
        <x:v>CALVIN: A Benchmark for Language-Conditioned Policy Learning for Long-Horizon Robot Manipulation</x:v>
      </x:c>
      <x:c r="E47" s="6" t="n">
        <x:v>2021</x:v>
      </x:c>
      <x:c r="F47" s="6" t="str">
        <x:v>Robotics</x:v>
      </x:c>
      <x:c r="G47" s="6"/>
      <x:c r="H47" s="6" t="str">
        <x:v>Dataset/benchmark</x:v>
      </x:c>
      <x:c r="I47" s="6" t="str">
        <x:v>Benchmark</x:v>
      </x:c>
      <x:c r="J47" s="6" t="str">
        <x:v>Robot actions</x:v>
      </x:c>
      <x:c r="K47" s="6" t="str">
        <x:v>Direct policy</x:v>
      </x:c>
      <x:c r="L47" s="6" t="str">
        <x:v>Landmark</x:v>
      </x:c>
      <x:c r="M47" s="6" t="str">
        <x:v>Adjacent</x:v>
      </x:c>
      <x:c r="N47" s="6" t="str">
        <x:v>Europe</x:v>
      </x:c>
      <x:c r="O47" s="6" t="str">
        <x:v>Oier Mees et al.</x:v>
      </x:c>
      <x:c r="P47" s="6" t="str">
        <x:v>https://arxiv.org/abs/2112.03227</x:v>
      </x:c>
      <x:c r="Q47" s="6" t="str">
        <x:v>European generalist robot-learning anchor</x:v>
      </x:c>
      <x:c r="R47" s="15" t="n">
        <x:v>6</x:v>
      </x:c>
      <x:c r="S47" s="15" t="n">
        <x:f>IF(R47="","",R47/MAX(1,2026-E47+1))</x:f>
        <x:v>1</x:v>
      </x:c>
      <x:c r="T47" s="6" t="str">
        <x:v>OpenAlex cited_by_count; title/DOI matched; conference version preferred when indexed</x:v>
      </x:c>
      <x:c r="U47" s="6" t="str">
        <x:v>https://openalex.org/W4200635284</x:v>
      </x:c>
      <x:c r="V47" s="6" t="str">
        <x:v>2026-09-02</x:v>
      </x:c>
      <x:c r="W47" s="6" t="str">
        <x:v>CALVIN is a benchmark/dataset, not a VL model architecture.</x:v>
      </x:c>
    </x:row>
    <x:row r="48">
      <x:c r="A48" s="6" t="str">
        <x:f>IF(M48="Yes",1+COUNTIFS($M$2:$M$67,"Yes",$R$2:$R$67,"&gt;"&amp;R48),"")</x:f>
      </x:c>
      <x:c r="B48" s="6" t="n">
        <x:f>IF(R48="","",1+COUNTIF($R$2:$R$67,"&gt;"&amp;R48))</x:f>
        <x:v>43</x:v>
      </x:c>
      <x:c r="C48" s="6" t="str">
        <x:v>P048</x:v>
      </x:c>
      <x:c r="D48" s="6" t="str">
        <x:v>Learning to Simulate Dynamic Environments with GameGAN</x:v>
      </x:c>
      <x:c r="E48" s="6" t="n">
        <x:v>2020</x:v>
      </x:c>
      <x:c r="F48" s="6" t="str">
        <x:v>Interactive WM</x:v>
      </x:c>
      <x:c r="G48" s="6" t="str">
        <x:v>G2</x:v>
      </x:c>
      <x:c r="H48" s="6" t="str">
        <x:v>Predicted future video/state</x:v>
      </x:c>
      <x:c r="I48" s="6" t="str">
        <x:v>Model</x:v>
      </x:c>
      <x:c r="J48" s="6" t="str">
        <x:v>Action-conditioned game frames</x:v>
      </x:c>
      <x:c r="K48" s="6" t="str">
        <x:v>World simulation</x:v>
      </x:c>
      <x:c r="L48" s="6" t="str">
        <x:v>Landmark</x:v>
      </x:c>
      <x:c r="M48" s="6" t="str">
        <x:v>Adjacent</x:v>
      </x:c>
      <x:c r="N48" s="6" t="str">
        <x:v>Mixed</x:v>
      </x:c>
      <x:c r="O48" s="6" t="str">
        <x:v>Seung Wook Kim; Yuhao Zhou; Jonah Philion; Antonio Torralba; Sanja Fidler</x:v>
      </x:c>
      <x:c r="P48" s="6" t="str">
        <x:v>https://arxiv.org/abs/2005.12126</x:v>
      </x:c>
      <x:c r="Q48" s="6" t="str">
        <x:v>Neural game engine that learns screen dynamics from action trajectories; architecture lineage rather than robot evidence</x:v>
      </x:c>
      <x:c r="R48" s="15" t="n">
        <x:v>5</x:v>
      </x:c>
      <x:c r="S48" s="15" t="n">
        <x:f>IF(R48="","",R48/MAX(1,2026-E48+1))</x:f>
        <x:v>0.7142857142857143</x:v>
      </x:c>
      <x:c r="T48" s="6" t="str">
        <x:v>OpenAlex cited_by_count; title/DOI matched; conference version preferred when indexed</x:v>
      </x:c>
      <x:c r="U48" s="6" t="str">
        <x:v>https://openalex.org/W3027570959</x:v>
      </x:c>
      <x:c r="V48" s="6" t="str">
        <x:v>2026-09-02</x:v>
      </x:c>
      <x:c r="W48" s="6" t="str"/>
    </x:row>
    <x:row r="49">
      <x:c r="A49" s="6" t="str">
        <x:f>IF(M49="Yes",1+COUNTIFS($M$2:$M$67,"Yes",$R$2:$R$67,"&gt;"&amp;R49),"")</x:f>
      </x:c>
      <x:c r="B49" s="6" t="n">
        <x:f>IF(R49="","",1+COUNTIF($R$2:$R$67,"&gt;"&amp;R49))</x:f>
        <x:v>45</x:v>
      </x:c>
      <x:c r="C49" s="6" t="str">
        <x:v>P053</x:v>
      </x:c>
      <x:c r="D49" s="6" t="str">
        <x:v>Diffusion Models Are Real-Time Game Engines (GameNGen)</x:v>
      </x:c>
      <x:c r="E49" s="6" t="n">
        <x:v>2024</x:v>
      </x:c>
      <x:c r="F49" s="6" t="str">
        <x:v>Interactive WM</x:v>
      </x:c>
      <x:c r="G49" s="6" t="str">
        <x:v>G2</x:v>
      </x:c>
      <x:c r="H49" s="6" t="str">
        <x:v>Predicted future video/state</x:v>
      </x:c>
      <x:c r="I49" s="6" t="str">
        <x:v>Model</x:v>
      </x:c>
      <x:c r="J49" s="6" t="str">
        <x:v>Past-frame-and-action-conditioned next video frame</x:v>
      </x:c>
      <x:c r="K49" s="6" t="str">
        <x:v>World simulation</x:v>
      </x:c>
      <x:c r="L49" s="6" t="str">
        <x:v>Landmark</x:v>
      </x:c>
      <x:c r="M49" s="6" t="str">
        <x:v>Adjacent</x:v>
      </x:c>
      <x:c r="N49" s="6" t="str">
        <x:v>Europe</x:v>
      </x:c>
      <x:c r="O49" s="6" t="str">
        <x:v>Dani Valevski; Yaniv Leviathan; Moab Arar; Shlomi Fruchter</x:v>
      </x:c>
      <x:c r="P49" s="6" t="str">
        <x:v>https://arxiv.org/abs/2408.14837</x:v>
      </x:c>
      <x:c r="Q49" s="6" t="str">
        <x:v>Real-time neural simulation of DOOM from prior frames and actions; no robot or physical-system deployment</x:v>
      </x:c>
      <x:c r="R49" s="15" t="n">
        <x:v>4</x:v>
      </x:c>
      <x:c r="S49" s="15" t="n">
        <x:f>IF(R49="","",R49/MAX(1,2026-E49+1))</x:f>
        <x:v>1.3333333333333333</x:v>
      </x:c>
      <x:c r="T49" s="6" t="str">
        <x:v>OpenAlex cited_by_count; title/DOI matched; conference version preferred when indexed</x:v>
      </x:c>
      <x:c r="U49" s="6" t="str">
        <x:v>https://openalex.org/W4402704721</x:v>
      </x:c>
      <x:c r="V49" s="6" t="str">
        <x:v>2026-09-02</x:v>
      </x:c>
      <x:c r="W49" s="6" t="str"/>
    </x:row>
    <x:row r="50">
      <x:c r="A50" s="6" t="str">
        <x:f>IF(M50="Yes",1+COUNTIFS($M$2:$M$67,"Yes",$R$2:$R$67,"&gt;"&amp;R50),"")</x:f>
      </x:c>
      <x:c r="B50" s="6" t="n">
        <x:f>IF(R50="","",1+COUNTIF($R$2:$R$67,"&gt;"&amp;R50))</x:f>
        <x:v>50</x:v>
      </x:c>
      <x:c r="C50" s="6" t="str">
        <x:v>P052</x:v>
      </x:c>
      <x:c r="D50" s="6" t="str">
        <x:v>Diffusion for World Modeling: Visual Details Matter in Atari (DIAMOND)</x:v>
      </x:c>
      <x:c r="E50" s="6" t="n">
        <x:v>2024</x:v>
      </x:c>
      <x:c r="F50" s="6" t="str">
        <x:v>Interactive WM</x:v>
      </x:c>
      <x:c r="G50" s="6" t="str">
        <x:v>G2</x:v>
      </x:c>
      <x:c r="H50" s="6" t="str">
        <x:v>Predicted future video/state</x:v>
      </x:c>
      <x:c r="I50" s="6" t="str">
        <x:v>Model</x:v>
      </x:c>
      <x:c r="J50" s="6" t="str">
        <x:v>Action-conditioned diffusion rollouts</x:v>
      </x:c>
      <x:c r="K50" s="6" t="str">
        <x:v>Planning</x:v>
      </x:c>
      <x:c r="L50" s="6" t="str">
        <x:v>Landmark</x:v>
      </x:c>
      <x:c r="M50" s="6" t="str">
        <x:v>Adjacent</x:v>
      </x:c>
      <x:c r="N50" s="6" t="str">
        <x:v>Europe</x:v>
      </x:c>
      <x:c r="O50" s="6" t="str">
        <x:v>Eloi Alonso; Adam Jelley; Vincent Micheli; Anssi Kanervisto; Amos Storkey; Tim Pearce; Francois Fleuret</x:v>
      </x:c>
      <x:c r="P50" s="6" t="str">
        <x:v>https://arxiv.org/abs/2405.12399</x:v>
      </x:c>
      <x:c r="Q50" s="6" t="str">
        <x:v>Trains an RL agent inside a diffusion world model and demonstrates an interactive neural game engine</x:v>
      </x:c>
      <x:c r="R50" s="15" t="n">
        <x:v>2</x:v>
      </x:c>
      <x:c r="S50" s="15" t="n">
        <x:f>IF(R50="","",R50/MAX(1,2026-E50+1))</x:f>
        <x:v>0.6666666666666666</x:v>
      </x:c>
      <x:c r="T50" s="6" t="str">
        <x:v>OpenAlex cited_by_count; title/DOI matched; conference version preferred when indexed</x:v>
      </x:c>
      <x:c r="U50" s="6" t="str">
        <x:v>https://openalex.org/W4398229893</x:v>
      </x:c>
      <x:c r="V50" s="6" t="str">
        <x:v>2026-09-02</x:v>
      </x:c>
      <x:c r="W50" s="6" t="str"/>
    </x:row>
    <x:row r="51">
      <x:c r="A51" s="6" t="str">
        <x:f>IF(M51="Yes",1+COUNTIFS($M$2:$M$67,"Yes",$R$2:$R$67,"&gt;"&amp;R51),"")</x:f>
      </x:c>
      <x:c r="B51" s="6" t="n">
        <x:f>IF(R51="","",1+COUNTIF($R$2:$R$67,"&gt;"&amp;R51))</x:f>
        <x:v>50</x:v>
      </x:c>
      <x:c r="C51" s="6" t="str">
        <x:v>P055</x:v>
      </x:c>
      <x:c r="D51" s="6" t="str">
        <x:v>GameGen-X: Interactive Open-world Game Video Generation</x:v>
      </x:c>
      <x:c r="E51" s="6" t="n">
        <x:v>2024</x:v>
      </x:c>
      <x:c r="F51" s="6" t="str">
        <x:v>Interactive WM</x:v>
      </x:c>
      <x:c r="G51" s="6" t="str">
        <x:v>G2</x:v>
      </x:c>
      <x:c r="H51" s="6" t="str">
        <x:v>Predicted future video/state</x:v>
      </x:c>
      <x:c r="I51" s="6" t="str">
        <x:v>Model</x:v>
      </x:c>
      <x:c r="J51" s="6" t="str">
        <x:v>Action-conditioned open-world game video</x:v>
      </x:c>
      <x:c r="K51" s="6" t="str">
        <x:v>World simulation</x:v>
      </x:c>
      <x:c r="L51" s="6" t="str">
        <x:v>Major</x:v>
      </x:c>
      <x:c r="M51" s="6" t="str">
        <x:v>Adjacent</x:v>
      </x:c>
      <x:c r="N51" s="6" t="str">
        <x:v>Asia</x:v>
      </x:c>
      <x:c r="O51" s="6" t="str">
        <x:v>Haoxuan Che et al.</x:v>
      </x:c>
      <x:c r="P51" s="6" t="str">
        <x:v>https://arxiv.org/abs/2411.00769</x:v>
      </x:c>
      <x:c r="Q51" s="6" t="str">
        <x:v>Extends action-conditioned generation to open-world game video; included as later lineage, not robot evidence</x:v>
      </x:c>
      <x:c r="R51" s="15" t="n">
        <x:v>2</x:v>
      </x:c>
      <x:c r="S51" s="15" t="n">
        <x:f>IF(R51="","",R51/MAX(1,2026-E51+1))</x:f>
        <x:v>0.6666666666666666</x:v>
      </x:c>
      <x:c r="T51" s="6" t="str">
        <x:v>OpenAlex cited_by_count; title/DOI matched; conference version preferred when indexed</x:v>
      </x:c>
      <x:c r="U51" s="6" t="str">
        <x:v>https://openalex.org/W4404345918</x:v>
      </x:c>
      <x:c r="V51" s="6" t="str">
        <x:v>2026-09-02</x:v>
      </x:c>
      <x:c r="W51" s="6" t="str"/>
    </x:row>
    <x:row r="52">
      <x:c r="A52" s="6" t="str">
        <x:f>IF(M52="Yes",1+COUNTIFS($M$2:$M$67,"Yes",$R$2:$R$67,"&gt;"&amp;R52),"")</x:f>
      </x:c>
      <x:c r="B52" s="6" t="n">
        <x:f>IF(R52="","",1+COUNTIF($R$2:$R$67,"&gt;"&amp;R52))</x:f>
        <x:v>52</x:v>
      </x:c>
      <x:c r="C52" s="6" t="str">
        <x:v>P027</x:v>
      </x:c>
      <x:c r="D52" s="6" t="str">
        <x:v>Gemini Robotics 1.5</x:v>
      </x:c>
      <x:c r="E52" s="6" t="n">
        <x:v>2025</x:v>
      </x:c>
      <x:c r="F52" s="6" t="str">
        <x:v>Robotics</x:v>
      </x:c>
      <x:c r="G52" s="6"/>
      <x:c r="H52" s="6" t="str">
        <x:v>Action trajectory/tokens</x:v>
      </x:c>
      <x:c r="I52" s="6" t="str">
        <x:v>Model</x:v>
      </x:c>
      <x:c r="J52" s="6" t="str">
        <x:v>Robot actions</x:v>
      </x:c>
      <x:c r="K52" s="6" t="str">
        <x:v>Direct policy</x:v>
      </x:c>
      <x:c r="L52" s="6" t="str">
        <x:v>Landmark</x:v>
      </x:c>
      <x:c r="M52" s="6" t="str">
        <x:v>Adjacent</x:v>
      </x:c>
      <x:c r="N52" s="6" t="str">
        <x:v>Europe</x:v>
      </x:c>
      <x:c r="O52" s="6" t="str">
        <x:v>Google DeepMind robotics team incl. Agrim Gupta</x:v>
      </x:c>
      <x:c r="P52" s="6" t="str">
        <x:v>https://arxiv.org/abs/2510.03342</x:v>
      </x:c>
      <x:c r="Q52" s="6" t="str">
        <x:v>Generalist VLA with embodied reasoning</x:v>
      </x:c>
      <x:c r="R52" s="15" t="n">
        <x:v>1</x:v>
      </x:c>
      <x:c r="S52" s="15" t="n">
        <x:f>IF(R52="","",R52/MAX(1,2026-E52+1))</x:f>
        <x:v>0.5</x:v>
      </x:c>
      <x:c r="T52" s="6" t="str">
        <x:v>OpenAlex cited_by_count; title/DOI matched; conference version preferred when indexed</x:v>
      </x:c>
      <x:c r="U52" s="6" t="str">
        <x:v>https://api.openalex.org/works/https://doi.org/10.48550/arXiv.2510.03342</x:v>
      </x:c>
      <x:c r="V52" s="6" t="str">
        <x:v>2026-09-02</x:v>
      </x:c>
      <x:c r="W52" s="6" t="str">
        <x:v>Gemini Robotics 1.5 is a VLA robotics model; no direct video-model transfer is claimed in the paper-level bridge count.</x:v>
      </x:c>
    </x:row>
    <x:row r="53">
      <x:c r="A53" s="6" t="str">
        <x:f>IF(M53="Yes",1+COUNTIFS($M$2:$M$67,"Yes",$R$2:$R$67,"&gt;"&amp;R53),"")</x:f>
      </x:c>
      <x:c r="B53" s="6" t="n">
        <x:f>IF(R53="","",1+COUNTIF($R$2:$R$67,"&gt;"&amp;R53))</x:f>
        <x:v>52</x:v>
      </x:c>
      <x:c r="C53" s="6" t="str">
        <x:v>P054</x:v>
      </x:c>
      <x:c r="D53" s="6" t="str">
        <x:v>Pandora: Towards General World Model with Natural Language Actions and Video States</x:v>
      </x:c>
      <x:c r="E53" s="6" t="n">
        <x:v>2024</x:v>
      </x:c>
      <x:c r="F53" s="6" t="str">
        <x:v>Interactive WM</x:v>
      </x:c>
      <x:c r="G53" s="6" t="str">
        <x:v>G2</x:v>
      </x:c>
      <x:c r="H53" s="6" t="str">
        <x:v>Predicted future video/state</x:v>
      </x:c>
      <x:c r="I53" s="6" t="str">
        <x:v>Model</x:v>
      </x:c>
      <x:c r="J53" s="6" t="str">
        <x:v>Language-action-conditioned video states</x:v>
      </x:c>
      <x:c r="K53" s="6" t="str">
        <x:v>World simulation</x:v>
      </x:c>
      <x:c r="L53" s="6" t="str">
        <x:v>Major</x:v>
      </x:c>
      <x:c r="M53" s="6" t="str">
        <x:v>Adjacent</x:v>
      </x:c>
      <x:c r="N53" s="6" t="str">
        <x:v>Mixed</x:v>
      </x:c>
      <x:c r="O53" s="6" t="str">
        <x:v>Jiannan Xiang et al.</x:v>
      </x:c>
      <x:c r="P53" s="6" t="str">
        <x:v>https://arxiv.org/abs/2406.09455</x:v>
      </x:c>
      <x:c r="Q53" s="6" t="str">
        <x:v>Broadens interactive video simulation to natural-language actions; architecture adjacency without robot validation</x:v>
      </x:c>
      <x:c r="R53" s="15" t="n">
        <x:v>1</x:v>
      </x:c>
      <x:c r="S53" s="15" t="n">
        <x:f>IF(R53="","",R53/MAX(1,2026-E53+1))</x:f>
        <x:v>0.3333333333333333</x:v>
      </x:c>
      <x:c r="T53" s="6" t="str">
        <x:v>OpenAlex cited_by_count; title/DOI matched; conference version preferred when indexed</x:v>
      </x:c>
      <x:c r="U53" s="6" t="str">
        <x:v>https://openalex.org/W4399758271</x:v>
      </x:c>
      <x:c r="V53" s="6" t="str">
        <x:v>2026-09-02</x:v>
      </x:c>
      <x:c r="W53" s="6" t="str"/>
    </x:row>
    <x:row r="54">
      <x:c r="A54" s="6" t="str">
        <x:f>IF(M54="Yes",1+COUNTIFS($M$2:$M$67,"Yes",$R$2:$R$67,"&gt;"&amp;R54),"")</x:f>
      </x:c>
      <x:c r="B54" s="6" t="n">
        <x:f>IF(R54="","",1+COUNTIF($R$2:$R$67,"&gt;"&amp;R54))</x:f>
        <x:v>52</x:v>
      </x:c>
      <x:c r="C54" s="6" t="str">
        <x:v>P049</x:v>
      </x:c>
      <x:c r="D54" s="6" t="str">
        <x:v>Playable Video Generation</x:v>
      </x:c>
      <x:c r="E54" s="6" t="n">
        <x:v>2021</x:v>
      </x:c>
      <x:c r="F54" s="6" t="str">
        <x:v>Interactive WM</x:v>
      </x:c>
      <x:c r="G54" s="6" t="str">
        <x:v>G2</x:v>
      </x:c>
      <x:c r="H54" s="6" t="str">
        <x:v>Predicted future video/state</x:v>
      </x:c>
      <x:c r="I54" s="6" t="str">
        <x:v>Model</x:v>
      </x:c>
      <x:c r="J54" s="6" t="str">
        <x:v>User-action-conditioned video</x:v>
      </x:c>
      <x:c r="K54" s="6" t="str">
        <x:v>World simulation</x:v>
      </x:c>
      <x:c r="L54" s="6" t="str">
        <x:v>Major</x:v>
      </x:c>
      <x:c r="M54" s="6" t="str">
        <x:v>Adjacent</x:v>
      </x:c>
      <x:c r="N54" s="6" t="str">
        <x:v>Europe</x:v>
      </x:c>
      <x:c r="O54" s="6" t="str">
        <x:v>Willi Menapace; Stephane Lathuiliere; Sergey Tulyakov; Aliaksandr Siarohin; Elisa Ricci</x:v>
      </x:c>
      <x:c r="P54" s="6" t="str">
        <x:v>https://arxiv.org/abs/2101.12195</x:v>
      </x:c>
      <x:c r="Q54" s="6" t="str">
        <x:v>Learns a controllable action space from unlabeled video; useful precursor to latent-action world models</x:v>
      </x:c>
      <x:c r="R54" s="15" t="n">
        <x:v>1</x:v>
      </x:c>
      <x:c r="S54" s="15" t="n">
        <x:f>IF(R54="","",R54/MAX(1,2026-E54+1))</x:f>
        <x:v>0.16666666666666666</x:v>
      </x:c>
      <x:c r="T54" s="6" t="str">
        <x:v>OpenAlex cited_by_count; title/DOI matched; conference version preferred when indexed</x:v>
      </x:c>
      <x:c r="U54" s="6" t="str">
        <x:v>https://openalex.org/W3121674744</x:v>
      </x:c>
      <x:c r="V54" s="6" t="str">
        <x:v>2026-09-02</x:v>
      </x:c>
      <x:c r="W54" s="6" t="str"/>
    </x:row>
    <x:row r="55">
      <x:c r="A55" s="6" t="str">
        <x:f>IF(M55="Yes",1+COUNTIFS($M$2:$M$67,"Yes",$R$2:$R$67,"&gt;"&amp;R55),"")</x:f>
      </x:c>
      <x:c r="B55" s="6" t="n">
        <x:f>IF(R55="","",1+COUNTIF($R$2:$R$67,"&gt;"&amp;R55))</x:f>
        <x:v>1</x:v>
      </x:c>
      <x:c r="C55" s="6" t="str">
        <x:v>P062</x:v>
      </x:c>
      <x:c r="D55" s="6" t="str">
        <x:v>FlowNet: Learning Optical Flow with Convolutional Networks</x:v>
      </x:c>
      <x:c r="E55" s="6" t="n">
        <x:v>2015</x:v>
      </x:c>
      <x:c r="F55" s="6" t="str">
        <x:v>Video</x:v>
      </x:c>
      <x:c r="G55" s="6" t="str">
        <x:v>U2</x:v>
      </x:c>
      <x:c r="H55" s="6" t="str">
        <x:v>Representation/reward/value</x:v>
      </x:c>
      <x:c r="I55" s="6" t="str">
        <x:v>Model</x:v>
      </x:c>
      <x:c r="J55" s="6" t="str">
        <x:v>Optical flow</x:v>
      </x:c>
      <x:c r="K55" s="6"/>
      <x:c r="L55" s="6" t="str">
        <x:v>Landmark</x:v>
      </x:c>
      <x:c r="M55" s="6" t="str">
        <x:v>No</x:v>
      </x:c>
      <x:c r="N55" s="6" t="str">
        <x:v>Europe</x:v>
      </x:c>
      <x:c r="O55" s="6" t="str">
        <x:v>Alexey Dosovitskiy; Philipp Fischer; Eddy Ilg; Philip Häusser; Caner Hazırbaş; Vladimir Golkov; Patrick van der Smagt; Daniel Cremers; Thomas Brox</x:v>
      </x:c>
      <x:c r="P55" s="6" t="str">
        <x:v>https://arxiv.org/abs/1504.06852</x:v>
      </x:c>
      <x:c r="Q55" s="6" t="str">
        <x:v>Verified motion-understanding origin paper for Thomas Brox</x:v>
      </x:c>
      <x:c r="R55" s="15" t="n">
        <x:v>4270</x:v>
      </x:c>
      <x:c r="S55" s="15" t="n">
        <x:f>IF(R55="","",R55/MAX(1,2026-E55+1))</x:f>
        <x:v>355.8333333333333</x:v>
      </x:c>
      <x:c r="T55" s="6" t="str">
        <x:v>OpenAlex cited_by_count; title/DOI matched; conference version preferred when indexed</x:v>
      </x:c>
      <x:c r="U55" s="6" t="str">
        <x:v>https://openalex.org/W764651262</x:v>
      </x:c>
      <x:c r="V55" s="6" t="str">
        <x:v>2026-09-02</x:v>
      </x:c>
      <x:c r="W55" s="6" t="str"/>
    </x:row>
    <x:row r="56">
      <x:c r="A56" s="6" t="str">
        <x:f>IF(M56="Yes",1+COUNTIFS($M$2:$M$67,"Yes",$R$2:$R$67,"&gt;"&amp;R56),"")</x:f>
      </x:c>
      <x:c r="B56" s="6" t="n">
        <x:f>IF(R56="","",1+COUNTIF($R$2:$R$67,"&gt;"&amp;R56))</x:f>
        <x:v>2</x:v>
      </x:c>
      <x:c r="C56" s="6" t="str">
        <x:v>P005</x:v>
      </x:c>
      <x:c r="D56" s="6" t="str">
        <x:v>SlowFast Networks for Video Recognition</x:v>
      </x:c>
      <x:c r="E56" s="6" t="n">
        <x:v>2019</x:v>
      </x:c>
      <x:c r="F56" s="6" t="str">
        <x:v>Video</x:v>
      </x:c>
      <x:c r="G56" s="6" t="str">
        <x:v>U1</x:v>
      </x:c>
      <x:c r="H56" s="6" t="str">
        <x:v>Representation/reward/value</x:v>
      </x:c>
      <x:c r="I56" s="6" t="str">
        <x:v>Model</x:v>
      </x:c>
      <x:c r="J56" s="6" t="str">
        <x:v>Semantic features</x:v>
      </x:c>
      <x:c r="K56" s="6"/>
      <x:c r="L56" s="6" t="str">
        <x:v>Landmark</x:v>
      </x:c>
      <x:c r="M56" s="6" t="str">
        <x:v>No</x:v>
      </x:c>
      <x:c r="N56" s="6" t="str">
        <x:v>US</x:v>
      </x:c>
      <x:c r="O56" s="6" t="str">
        <x:v>Christoph Feichtenhofer; Haoqi Fan; Jitendra Malik; Kaiming He</x:v>
      </x:c>
      <x:c r="P56" s="6" t="str">
        <x:v>https://arxiv.org/abs/1812.03982</x:v>
      </x:c>
      <x:c r="Q56" s="6" t="str">
        <x:v>Canonical semantic video-understanding architecture</x:v>
      </x:c>
      <x:c r="R56" s="15" t="n">
        <x:v>3742</x:v>
      </x:c>
      <x:c r="S56" s="15" t="n">
        <x:f>IF(R56="","",R56/MAX(1,2026-E56+1))</x:f>
        <x:v>467.75</x:v>
      </x:c>
      <x:c r="T56" s="6" t="str">
        <x:v>OpenAlex cited_by_count; title/DOI matched; conference version preferred when indexed</x:v>
      </x:c>
      <x:c r="U56" s="6" t="str">
        <x:v>https://openalex.org/W2990503944</x:v>
      </x:c>
      <x:c r="V56" s="6" t="str">
        <x:v>2026-09-02</x:v>
      </x:c>
      <x:c r="W56" s="6" t="str"/>
    </x:row>
    <x:row r="57">
      <x:c r="A57" s="6" t="str">
        <x:f>IF(M57="Yes",1+COUNTIFS($M$2:$M$67,"Yes",$R$2:$R$67,"&gt;"&amp;R57),"")</x:f>
      </x:c>
      <x:c r="B57" s="6" t="n">
        <x:f>IF(R57="","",1+COUNTIF($R$2:$R$67,"&gt;"&amp;R57))</x:f>
        <x:v>7</x:v>
      </x:c>
      <x:c r="C57" s="6" t="str">
        <x:v>P065</x:v>
      </x:c>
      <x:c r="D57" s="6" t="str">
        <x:v>Quo Vadis, Action Recognition? A New Model and the Kinetics Dataset</x:v>
      </x:c>
      <x:c r="E57" s="6" t="n">
        <x:v>2017</x:v>
      </x:c>
      <x:c r="F57" s="6" t="str">
        <x:v>Video</x:v>
      </x:c>
      <x:c r="G57" s="6" t="str">
        <x:v>U1</x:v>
      </x:c>
      <x:c r="H57" s="6" t="str">
        <x:v>Representation/reward/value</x:v>
      </x:c>
      <x:c r="I57" s="6" t="str">
        <x:v>Model</x:v>
      </x:c>
      <x:c r="J57" s="6" t="str">
        <x:v>Spatiotemporal action-recognition features</x:v>
      </x:c>
      <x:c r="K57" s="6"/>
      <x:c r="L57" s="6" t="str">
        <x:v>Landmark</x:v>
      </x:c>
      <x:c r="M57" s="6" t="str">
        <x:v>No</x:v>
      </x:c>
      <x:c r="N57" s="6" t="str">
        <x:v>Europe</x:v>
      </x:c>
      <x:c r="O57" s="6" t="str">
        <x:v>João Carreira; Andrew Zisserman</x:v>
      </x:c>
      <x:c r="P57" s="6" t="str">
        <x:v>https://arxiv.org/abs/1705.07750</x:v>
      </x:c>
      <x:c r="Q57" s="6" t="str">
        <x:v>Verified video-understanding origin paper for João Carreira; introduces I3D</x:v>
      </x:c>
      <x:c r="R57" s="15" t="n">
        <x:v>432</x:v>
      </x:c>
      <x:c r="S57" s="15" t="n">
        <x:f>IF(R57="","",R57/MAX(1,2026-E57+1))</x:f>
        <x:v>43.2</x:v>
      </x:c>
      <x:c r="T57" s="6" t="str">
        <x:v>OpenAlex cited_by_count; title/DOI matched; conference version preferred when indexed</x:v>
      </x:c>
      <x:c r="U57" s="6" t="str">
        <x:v>https://openalex.org/W2619082050</x:v>
      </x:c>
      <x:c r="V57" s="6" t="str">
        <x:v>2026-09-02</x:v>
      </x:c>
      <x:c r="W57" s="6" t="str"/>
    </x:row>
    <x:row r="58">
      <x:c r="A58" s="6" t="str">
        <x:f>IF(M58="Yes",1+COUNTIFS($M$2:$M$67,"Yes",$R$2:$R$67,"&gt;"&amp;R58),"")</x:f>
      </x:c>
      <x:c r="B58" s="6" t="n">
        <x:f>IF(R58="","",1+COUNTIF($R$2:$R$67,"&gt;"&amp;R58))</x:f>
        <x:v>24</x:v>
      </x:c>
      <x:c r="C58" s="6" t="str">
        <x:v>P057</x:v>
      </x:c>
      <x:c r="D58" s="6" t="str">
        <x:v>Motion Prompting: Controlling Video Generation with Motion Trajectories</x:v>
      </x:c>
      <x:c r="E58" s="6" t="n">
        <x:v>2024</x:v>
      </x:c>
      <x:c r="F58" s="6" t="str">
        <x:v>Video</x:v>
      </x:c>
      <x:c r="G58" s="6" t="str">
        <x:v>G1</x:v>
      </x:c>
      <x:c r="H58" s="6" t="str">
        <x:v>Generated image/video</x:v>
      </x:c>
      <x:c r="I58" s="6" t="str">
        <x:v>Model</x:v>
      </x:c>
      <x:c r="J58" s="6" t="str">
        <x:v>Motion-conditioned generated video</x:v>
      </x:c>
      <x:c r="K58" s="6"/>
      <x:c r="L58" s="6" t="str">
        <x:v>Major</x:v>
      </x:c>
      <x:c r="M58" s="6" t="str">
        <x:v>No</x:v>
      </x:c>
      <x:c r="N58" s="6" t="str">
        <x:v>US</x:v>
      </x:c>
      <x:c r="O58" s="6" t="str">
        <x:v>Daniel Geng; Charles Herrmann; Junhwa Hur; Forrester Cole; Serena Zhang; Tobias Pfaff; Tatiana Lopez-Guevara; Carl Doersch; Yusuf Aytar et al.</x:v>
      </x:c>
      <x:c r="P58" s="6" t="str">
        <x:v>https://arxiv.org/abs/2412.02700</x:v>
      </x:c>
      <x:c r="Q58" s="6" t="str">
        <x:v>Verified video-generation origin evidence for Yusuf Aytar; no robot experiment in this paper</x:v>
      </x:c>
      <x:c r="R58" s="15" t="n">
        <x:v>22</x:v>
      </x:c>
      <x:c r="S58" s="15" t="n">
        <x:f>IF(R58="","",R58/MAX(1,2026-E58+1))</x:f>
        <x:v>7.333333333333333</x:v>
      </x:c>
      <x:c r="T58" s="6" t="str">
        <x:v>OpenAlex cited_by_count; title/DOI matched; conference version preferred when indexed</x:v>
      </x:c>
      <x:c r="U58" s="6" t="str">
        <x:v>https://openalex.org/W4413145386</x:v>
      </x:c>
      <x:c r="V58" s="6" t="str">
        <x:v>2026-09-02</x:v>
      </x:c>
      <x:c r="W58" s="6" t="str"/>
    </x:row>
    <x:row r="59">
      <x:c r="A59" s="6" t="str">
        <x:f>IF(M59="Yes",1+COUNTIFS($M$2:$M$67,"Yes",$R$2:$R$67,"&gt;"&amp;R59),"")</x:f>
      </x:c>
      <x:c r="B59" s="6" t="n">
        <x:f>IF(R59="","",1+COUNTIF($R$2:$R$67,"&gt;"&amp;R59))</x:f>
        <x:v>24</x:v>
      </x:c>
      <x:c r="C59" s="6" t="str">
        <x:v>P059</x:v>
      </x:c>
      <x:c r="D59" s="6" t="str">
        <x:v>RELATE: Physically Plausible Multi-Object Scene Synthesis Using Structured Latent Spaces</x:v>
      </x:c>
      <x:c r="E59" s="6" t="n">
        <x:v>2020</x:v>
      </x:c>
      <x:c r="F59" s="6" t="str">
        <x:v>Video</x:v>
      </x:c>
      <x:c r="G59" s="6" t="str">
        <x:v>G1</x:v>
      </x:c>
      <x:c r="H59" s="6" t="str">
        <x:v>Generated image/video</x:v>
      </x:c>
      <x:c r="I59" s="6" t="str">
        <x:v>Model</x:v>
      </x:c>
      <x:c r="J59" s="6" t="str">
        <x:v>Generated scenes and video</x:v>
      </x:c>
      <x:c r="K59" s="6"/>
      <x:c r="L59" s="6" t="str">
        <x:v>Major</x:v>
      </x:c>
      <x:c r="M59" s="6" t="str">
        <x:v>No</x:v>
      </x:c>
      <x:c r="N59" s="6" t="str">
        <x:v>Europe</x:v>
      </x:c>
      <x:c r="O59" s="6" t="str">
        <x:v>Sébastien Ehrhardt; Oliver Groth; Aron Monszpart; Martin Engelcke; Ingmar Posner; Niloy Mitra; Andrea Vedaldi</x:v>
      </x:c>
      <x:c r="P59" s="6" t="str">
        <x:v>https://arxiv.org/abs/2007.01272</x:v>
      </x:c>
      <x:c r="Q59" s="6" t="str">
        <x:v>Verified generative-video paper for Oliver Groth; retained as the video-side reference</x:v>
      </x:c>
      <x:c r="R59" s="15" t="n">
        <x:v>22</x:v>
      </x:c>
      <x:c r="S59" s="15" t="n">
        <x:f>IF(R59="","",R59/MAX(1,2026-E59+1))</x:f>
        <x:v>3.142857142857143</x:v>
      </x:c>
      <x:c r="T59" s="6" t="str">
        <x:v>OpenAlex cited_by_count; title/DOI matched; conference version preferred when indexed</x:v>
      </x:c>
      <x:c r="U59" s="6" t="str">
        <x:v>https://openalex.org/W3039384219</x:v>
      </x:c>
      <x:c r="V59" s="6" t="str">
        <x:v>2026-09-02</x:v>
      </x:c>
      <x:c r="W59" s="6" t="str"/>
    </x:row>
    <x:row r="60">
      <x:c r="A60" s="6" t="str">
        <x:f>IF(M60="Yes",1+COUNTIFS($M$2:$M$67,"Yes",$R$2:$R$67,"&gt;"&amp;R60),"")</x:f>
      </x:c>
      <x:c r="B60" s="6" t="n">
        <x:f>IF(R60="","",1+COUNTIF($R$2:$R$67,"&gt;"&amp;R60))</x:f>
        <x:v>27</x:v>
      </x:c>
      <x:c r="C60" s="6" t="str">
        <x:v>P007</x:v>
      </x:c>
      <x:c r="D60" s="6" t="str">
        <x:v>VideoPoet: A Large Language Model for Zero-Shot Video Generation</x:v>
      </x:c>
      <x:c r="E60" s="6" t="n">
        <x:v>2023</x:v>
      </x:c>
      <x:c r="F60" s="6" t="str">
        <x:v>Video</x:v>
      </x:c>
      <x:c r="G60" s="6" t="str">
        <x:v>G1</x:v>
      </x:c>
      <x:c r="H60" s="6" t="str">
        <x:v>Generated image/video</x:v>
      </x:c>
      <x:c r="I60" s="6" t="str">
        <x:v>Model</x:v>
      </x:c>
      <x:c r="J60" s="6" t="str">
        <x:v>Video/audio tokens</x:v>
      </x:c>
      <x:c r="K60" s="6"/>
      <x:c r="L60" s="6" t="str">
        <x:v>Major</x:v>
      </x:c>
      <x:c r="M60" s="6" t="str">
        <x:v>No</x:v>
      </x:c>
      <x:c r="N60" s="6" t="str">
        <x:v>Europe</x:v>
      </x:c>
      <x:c r="O60" s="6" t="str">
        <x:v>Dan Kondratyuk; Lijun Yu; Xiuye Gu; José Lezama; Jonathan Huang; João Carreira et al.</x:v>
      </x:c>
      <x:c r="P60" s="6" t="str">
        <x:v>https://arxiv.org/abs/2312.14125</x:v>
      </x:c>
      <x:c r="Q60" s="6" t="str">
        <x:v>Autoregressive multimodal generation</x:v>
      </x:c>
      <x:c r="R60" s="15" t="n">
        <x:v>19</x:v>
      </x:c>
      <x:c r="S60" s="15" t="n">
        <x:f>IF(R60="","",R60/MAX(1,2026-E60+1))</x:f>
        <x:v>4.75</x:v>
      </x:c>
      <x:c r="T60" s="6" t="str">
        <x:v>OpenAlex cited_by_count; title/DOI matched; conference version preferred when indexed</x:v>
      </x:c>
      <x:c r="U60" s="6" t="str">
        <x:v>https://openalex.org/W4390137271</x:v>
      </x:c>
      <x:c r="V60" s="6" t="str">
        <x:v>2026-09-02</x:v>
      </x:c>
      <x:c r="W60" s="6" t="str"/>
    </x:row>
    <x:row r="61">
      <x:c r="A61" s="6" t="str">
        <x:f>IF(M61="Yes",1+COUNTIFS($M$2:$M$67,"Yes",$R$2:$R$67,"&gt;"&amp;R61),"")</x:f>
      </x:c>
      <x:c r="B61" s="6" t="n">
        <x:f>IF(R61="","",1+COUNTIF($R$2:$R$67,"&gt;"&amp;R61))</x:f>
        <x:v>28</x:v>
      </x:c>
      <x:c r="C61" s="6" t="str">
        <x:v>P002</x:v>
      </x:c>
      <x:c r="D61" s="6" t="str">
        <x:v>Siamese Masked Autoencoders</x:v>
      </x:c>
      <x:c r="E61" s="6" t="n">
        <x:v>2023</x:v>
      </x:c>
      <x:c r="F61" s="6" t="str">
        <x:v>Video</x:v>
      </x:c>
      <x:c r="G61" s="6" t="str">
        <x:v>U3</x:v>
      </x:c>
      <x:c r="H61" s="6" t="str">
        <x:v>Representation/reward/value</x:v>
      </x:c>
      <x:c r="I61" s="6" t="str">
        <x:v>Model</x:v>
      </x:c>
      <x:c r="J61" s="6" t="str">
        <x:v>Latent representation</x:v>
      </x:c>
      <x:c r="K61" s="6"/>
      <x:c r="L61" s="6" t="str">
        <x:v>Major</x:v>
      </x:c>
      <x:c r="M61" s="6" t="str">
        <x:v>No</x:v>
      </x:c>
      <x:c r="N61" s="6" t="str">
        <x:v>US</x:v>
      </x:c>
      <x:c r="O61" s="6" t="str">
        <x:v>Agrim Gupta; Jiajun Wu; Jia Deng; Fei-Fei Li</x:v>
      </x:c>
      <x:c r="P61" s="6" t="str">
        <x:v>https://arxiv.org/abs/2305.14344</x:v>
      </x:c>
      <x:c r="Q61" s="6" t="str">
        <x:v>Separates representation prediction from pixel generation</x:v>
      </x:c>
      <x:c r="R61" s="15" t="n">
        <x:v>18</x:v>
      </x:c>
      <x:c r="S61" s="15" t="n">
        <x:f>IF(R61="","",R61/MAX(1,2026-E61+1))</x:f>
        <x:v>4.5</x:v>
      </x:c>
      <x:c r="T61" s="6" t="str">
        <x:v>OpenAlex cited_by_count; title/DOI matched; conference version preferred when indexed</x:v>
      </x:c>
      <x:c r="U61" s="6" t="str">
        <x:v>https://openalex.org/W4378509424</x:v>
      </x:c>
      <x:c r="V61" s="6" t="str">
        <x:v>2026-09-02</x:v>
      </x:c>
      <x:c r="W61" s="6" t="str"/>
    </x:row>
    <x:row r="62">
      <x:c r="A62" s="6" t="str">
        <x:f>IF(M62="Yes",1+COUNTIFS($M$2:$M$67,"Yes",$R$2:$R$67,"&gt;"&amp;R62),"")</x:f>
      </x:c>
      <x:c r="B62" s="6" t="n">
        <x:f>IF(R62="","",1+COUNTIF($R$2:$R$67,"&gt;"&amp;R62))</x:f>
        <x:v>33</x:v>
      </x:c>
      <x:c r="C62" s="6" t="str">
        <x:v>P003</x:v>
      </x:c>
      <x:c r="D62" s="6" t="str">
        <x:v>Revisiting Feature Prediction for Learning Visual Representations from Video (V-JEPA)</x:v>
      </x:c>
      <x:c r="E62" s="6" t="n">
        <x:v>2024</x:v>
      </x:c>
      <x:c r="F62" s="6" t="str">
        <x:v>Video</x:v>
      </x:c>
      <x:c r="G62" s="6" t="str">
        <x:v>U3</x:v>
      </x:c>
      <x:c r="H62" s="6" t="str">
        <x:v>Representation/reward/value</x:v>
      </x:c>
      <x:c r="I62" s="6" t="str">
        <x:v>Model</x:v>
      </x:c>
      <x:c r="J62" s="6" t="str">
        <x:v>Latent representation</x:v>
      </x:c>
      <x:c r="K62" s="6"/>
      <x:c r="L62" s="6" t="str">
        <x:v>Landmark</x:v>
      </x:c>
      <x:c r="M62" s="6" t="str">
        <x:v>No</x:v>
      </x:c>
      <x:c r="N62" s="6" t="str">
        <x:v>Mixed</x:v>
      </x:c>
      <x:c r="O62" s="6" t="str">
        <x:v>Adrien Bardes; Quentin Garrido; Jean Ponce; Michael Rabbat; Yann LeCun et al.</x:v>
      </x:c>
      <x:c r="P62" s="6" t="str">
        <x:v>https://arxiv.org/abs/2404.08471</x:v>
      </x:c>
      <x:c r="Q62" s="6" t="str">
        <x:v>Masked latent prediction architecture</x:v>
      </x:c>
      <x:c r="R62" s="15" t="n">
        <x:v>11</x:v>
      </x:c>
      <x:c r="S62" s="15" t="n">
        <x:f>IF(R62="","",R62/MAX(1,2026-E62+1))</x:f>
        <x:v>3.6666666666666665</x:v>
      </x:c>
      <x:c r="T62" s="6" t="str">
        <x:v>OpenAlex cited_by_count; title/DOI matched; conference version preferred when indexed</x:v>
      </x:c>
      <x:c r="U62" s="6" t="str">
        <x:v>https://openalex.org/W4394861491</x:v>
      </x:c>
      <x:c r="V62" s="6" t="str">
        <x:v>2026-09-02</x:v>
      </x:c>
      <x:c r="W62" s="6" t="str"/>
    </x:row>
    <x:row r="63">
      <x:c r="A63" s="6" t="str">
        <x:f>IF(M63="Yes",1+COUNTIFS($M$2:$M$67,"Yes",$R$2:$R$67,"&gt;"&amp;R63),"")</x:f>
      </x:c>
      <x:c r="B63" s="6" t="n">
        <x:f>IF(R63="","",1+COUNTIF($R$2:$R$67,"&gt;"&amp;R63))</x:f>
        <x:v>39</x:v>
      </x:c>
      <x:c r="C63" s="6" t="str">
        <x:v>P058</x:v>
      </x:c>
      <x:c r="D63" s="6" t="str">
        <x:v>Instruction-driven history-aware policies for robotic manipulations</x:v>
      </x:c>
      <x:c r="E63" s="6" t="n">
        <x:v>2022</x:v>
      </x:c>
      <x:c r="F63" s="6" t="str">
        <x:v>Robotics</x:v>
      </x:c>
      <x:c r="G63" s="6"/>
      <x:c r="H63" s="6" t="str">
        <x:v>Action trajectory/tokens</x:v>
      </x:c>
      <x:c r="I63" s="6" t="str">
        <x:v>Model</x:v>
      </x:c>
      <x:c r="J63" s="6" t="str">
        <x:v>Robot actions</x:v>
      </x:c>
      <x:c r="K63" s="6" t="str">
        <x:v>Direct policy</x:v>
      </x:c>
      <x:c r="L63" s="6" t="str">
        <x:v>Major</x:v>
      </x:c>
      <x:c r="M63" s="6" t="str">
        <x:v>No</x:v>
      </x:c>
      <x:c r="N63" s="6" t="str">
        <x:v>Europe</x:v>
      </x:c>
      <x:c r="O63" s="6" t="str">
        <x:v>Pierre-Louis Guhur; Shizhe Chen; Ricardo Garcia; Makarand Tapaswi; Ivan Laptev; Cordelia Schmid</x:v>
      </x:c>
      <x:c r="P63" s="6" t="str">
        <x:v>https://arxiv.org/abs/2209.04899</x:v>
      </x:c>
      <x:c r="Q63" s="6" t="str">
        <x:v>Verified robotics paper for Pierre-Louis Guhur; it is not evidence of a video-model origin</x:v>
      </x:c>
      <x:c r="R63" s="15" t="n">
        <x:v>7</x:v>
      </x:c>
      <x:c r="S63" s="15" t="n">
        <x:f>IF(R63="","",R63/MAX(1,2026-E63+1))</x:f>
        <x:v>1.4</x:v>
      </x:c>
      <x:c r="T63" s="6" t="str">
        <x:v>OpenAlex cited_by_count; title/DOI matched; conference version preferred when indexed</x:v>
      </x:c>
      <x:c r="U63" s="6" t="str">
        <x:v>https://openalex.org/W4295688231</x:v>
      </x:c>
      <x:c r="V63" s="6" t="str">
        <x:v>2026-09-02</x:v>
      </x:c>
      <x:c r="W63" s="6" t="str"/>
    </x:row>
    <x:row r="64">
      <x:c r="A64" s="6" t="str">
        <x:f>IF(M64="Yes",1+COUNTIFS($M$2:$M$67,"Yes",$R$2:$R$67,"&gt;"&amp;R64),"")</x:f>
      </x:c>
      <x:c r="B64" s="6" t="n">
        <x:f>IF(R64="","",1+COUNTIF($R$2:$R$67,"&gt;"&amp;R64))</x:f>
        <x:v>39</x:v>
      </x:c>
      <x:c r="C64" s="6" t="str">
        <x:v>P001</x:v>
      </x:c>
      <x:c r="D64" s="6" t="str">
        <x:v>Photorealistic Video Generation with Diffusion Models (WALT)</x:v>
      </x:c>
      <x:c r="E64" s="6" t="n">
        <x:v>2023</x:v>
      </x:c>
      <x:c r="F64" s="6" t="str">
        <x:v>Video</x:v>
      </x:c>
      <x:c r="G64" s="6" t="str">
        <x:v>G1</x:v>
      </x:c>
      <x:c r="H64" s="6" t="str">
        <x:v>Generated image/video</x:v>
      </x:c>
      <x:c r="I64" s="6" t="str">
        <x:v>Model</x:v>
      </x:c>
      <x:c r="J64" s="6" t="str">
        <x:v>Pixels / latent video tokens</x:v>
      </x:c>
      <x:c r="K64" s="6"/>
      <x:c r="L64" s="6" t="str">
        <x:v>Landmark</x:v>
      </x:c>
      <x:c r="M64" s="6" t="str">
        <x:v>No</x:v>
      </x:c>
      <x:c r="N64" s="6" t="str">
        <x:v>US</x:v>
      </x:c>
      <x:c r="O64" s="6" t="str">
        <x:v>Agrim Gupta; Lijun Yu; José Lezama et al.</x:v>
      </x:c>
      <x:c r="P64" s="6" t="str">
        <x:v>https://arxiv.org/abs/2312.06662</x:v>
      </x:c>
      <x:c r="Q64" s="6" t="str">
        <x:v>Strong video-generation credential for later robotics bridges</x:v>
      </x:c>
      <x:c r="R64" s="15" t="n">
        <x:v>7</x:v>
      </x:c>
      <x:c r="S64" s="15" t="n">
        <x:f>IF(R64="","",R64/MAX(1,2026-E64+1))</x:f>
        <x:v>1.75</x:v>
      </x:c>
      <x:c r="T64" s="6" t="str">
        <x:v>OpenAlex cited_by_count; title/DOI matched; conference version preferred when indexed</x:v>
      </x:c>
      <x:c r="U64" s="6" t="str">
        <x:v>https://api.openalex.org/works/https://doi.org/10.48550/arXiv.2312.06662</x:v>
      </x:c>
      <x:c r="V64" s="6" t="str">
        <x:v>2026-09-02</x:v>
      </x:c>
      <x:c r="W64" s="6" t="str"/>
    </x:row>
    <x:row r="65">
      <x:c r="A65" s="6" t="str">
        <x:f>IF(M65="Yes",1+COUNTIFS($M$2:$M$67,"Yes",$R$2:$R$67,"&gt;"&amp;R65),"")</x:f>
      </x:c>
      <x:c r="B65" s="6" t="n">
        <x:f>IF(R65="","",1+COUNTIF($R$2:$R$67,"&gt;"&amp;R65))</x:f>
        <x:v>48</x:v>
      </x:c>
      <x:c r="C65" s="6" t="str">
        <x:v>P060</x:v>
      </x:c>
      <x:c r="D65" s="6" t="str">
        <x:v>Mastering Stacking of Diverse Shapes with Large-Scale Iterative Reinforcement Learning on Real Robots</x:v>
      </x:c>
      <x:c r="E65" s="6" t="n">
        <x:v>2023</x:v>
      </x:c>
      <x:c r="F65" s="6" t="str">
        <x:v>Robotics</x:v>
      </x:c>
      <x:c r="G65" s="6"/>
      <x:c r="H65" s="6" t="str">
        <x:v>Action trajectory/tokens</x:v>
      </x:c>
      <x:c r="I65" s="6" t="str">
        <x:v>Model</x:v>
      </x:c>
      <x:c r="J65" s="6" t="str">
        <x:v>Robot actions</x:v>
      </x:c>
      <x:c r="K65" s="6" t="str">
        <x:v>Direct policy</x:v>
      </x:c>
      <x:c r="L65" s="6" t="str">
        <x:v>Major</x:v>
      </x:c>
      <x:c r="M65" s="6" t="str">
        <x:v>No</x:v>
      </x:c>
      <x:c r="N65" s="6" t="str">
        <x:v>Europe</x:v>
      </x:c>
      <x:c r="O65" s="6" t="str">
        <x:v>Thomas Lampe; Abbas Abdolmaleki; Sarah Bechtle; Sandy H. Huang; Jost Tobias Springenberg; Michael Bloesch; Oliver Groth et al.</x:v>
      </x:c>
      <x:c r="P65" s="6" t="str">
        <x:v>https://arxiv.org/abs/2312.11374</x:v>
      </x:c>
      <x:c r="Q65" s="6" t="str">
        <x:v>Verified real-robot paper for Oliver Groth; not itself a video-to-robotics bridge</x:v>
      </x:c>
      <x:c r="R65" s="15" t="n">
        <x:v>3</x:v>
      </x:c>
      <x:c r="S65" s="15" t="n">
        <x:f>IF(R65="","",R65/MAX(1,2026-E65+1))</x:f>
        <x:v>0.75</x:v>
      </x:c>
      <x:c r="T65" s="6" t="str">
        <x:v>OpenAlex cited_by_count; title/DOI matched; conference version preferred when indexed</x:v>
      </x:c>
      <x:c r="U65" s="6" t="str">
        <x:v>https://openalex.org/W4401414678</x:v>
      </x:c>
      <x:c r="V65" s="6" t="str">
        <x:v>2026-09-02</x:v>
      </x:c>
      <x:c r="W65" s="6" t="str"/>
    </x:row>
    <x:row r="66">
      <x:c r="A66" s="6" t="str">
        <x:f>IF(M66="Yes",1+COUNTIFS($M$2:$M$67,"Yes",$R$2:$R$67,"&gt;"&amp;R66),"")</x:f>
      </x:c>
      <x:c r="B66" s="6" t="n">
        <x:f>IF(R66="","",1+COUNTIF($R$2:$R$67,"&gt;"&amp;R66))</x:f>
        <x:v>52</x:v>
      </x:c>
      <x:c r="C66" s="6" t="str">
        <x:v>P030</x:v>
      </x:c>
      <x:c r="D66" s="6" t="str">
        <x:v>π0: A Vision-Language-Action Flow Model for General Robot Control</x:v>
      </x:c>
      <x:c r="E66" s="6" t="n">
        <x:v>2024</x:v>
      </x:c>
      <x:c r="F66" s="6" t="str">
        <x:v>Robotics</x:v>
      </x:c>
      <x:c r="G66" s="6"/>
      <x:c r="H66" s="6" t="str">
        <x:v>Action trajectory/tokens</x:v>
      </x:c>
      <x:c r="I66" s="6" t="str">
        <x:v>Model</x:v>
      </x:c>
      <x:c r="J66" s="6" t="str">
        <x:v>Continuous actions</x:v>
      </x:c>
      <x:c r="K66" s="6" t="str">
        <x:v>Direct policy</x:v>
      </x:c>
      <x:c r="L66" s="6" t="str">
        <x:v>Landmark</x:v>
      </x:c>
      <x:c r="M66" s="6" t="str">
        <x:v>No</x:v>
      </x:c>
      <x:c r="N66" s="6" t="str">
        <x:v>US</x:v>
      </x:c>
      <x:c r="O66" s="6" t="str">
        <x:v>Kevin Black et al.</x:v>
      </x:c>
      <x:c r="P66" s="6" t="str">
        <x:v>https://www.physicalintelligence.company/blog/pi0</x:v>
      </x:c>
      <x:c r="Q66" s="6" t="str">
        <x:v>Robotics-side reference paper; excluded from the researcher transition denominator</x:v>
      </x:c>
      <x:c r="R66" s="15" t="n">
        <x:v>1</x:v>
      </x:c>
      <x:c r="S66" s="15" t="n">
        <x:f>IF(R66="","",R66/MAX(1,2026-E66+1))</x:f>
        <x:v>0.3333333333333333</x:v>
      </x:c>
      <x:c r="T66" s="6" t="str">
        <x:v>OpenAlex cited_by_count; title/DOI matched; conference version preferred when indexed</x:v>
      </x:c>
      <x:c r="U66" s="6" t="str">
        <x:v>https://api.openalex.org/works/https://doi.org/10.48550/arXiv.2410.24164</x:v>
      </x:c>
      <x:c r="V66" s="6" t="str">
        <x:v>2026-09-02</x:v>
      </x:c>
      <x:c r="W66" s="6" t="str"/>
    </x:row>
    <x:row r="67">
      <x:c r="A67" s="6" t="str">
        <x:f>IF(M67="Yes",1+COUNTIFS($M$2:$M$67,"Yes",$R$2:$R$67,"&gt;"&amp;R67),"")</x:f>
      </x:c>
      <x:c r="B67" s="6" t="str">
        <x:f>IF(R67="","",1+COUNTIF($R$2:$R$67,"&gt;"&amp;R67))</x:f>
      </x:c>
      <x:c r="C67" s="6" t="str">
        <x:v>P040</x:v>
      </x:c>
      <x:c r="D67" s="6" t="str">
        <x:v>Video Generation Models in Robotics: Applications, Challenges, and Future Directions</x:v>
      </x:c>
      <x:c r="E67" s="6" t="n">
        <x:v>2026</x:v>
      </x:c>
      <x:c r="F67" s="6" t="str">
        <x:v>Survey</x:v>
      </x:c>
      <x:c r="G67" s="6" t="str">
        <x:v>Multiple</x:v>
      </x:c>
      <x:c r="H67" s="6" t="str">
        <x:v>N/A</x:v>
      </x:c>
      <x:c r="I67" s="6" t="str">
        <x:v>Survey</x:v>
      </x:c>
      <x:c r="J67" s="6" t="str">
        <x:v>Taxonomy</x:v>
      </x:c>
      <x:c r="K67" s="6"/>
      <x:c r="L67" s="6" t="str">
        <x:v>Reference</x:v>
      </x:c>
      <x:c r="M67" s="6" t="str">
        <x:v>No</x:v>
      </x:c>
      <x:c r="N67" s="6" t="str">
        <x:v>Global</x:v>
      </x:c>
      <x:c r="O67" s="6" t="str">
        <x:v>Survey authors</x:v>
      </x:c>
      <x:c r="P67" s="6" t="str">
        <x:v>https://arxiv.org/abs/2601.07823</x:v>
      </x:c>
      <x:c r="Q67" s="6" t="str">
        <x:v>External survey for scope checking and future expansion</x:v>
      </x:c>
      <x:c r="R67" s="15" t="n">
        <x:v>0</x:v>
      </x:c>
      <x:c r="S67" s="15" t="str">
        <x:f>IF(R67="","",R67/MAX(1,2026-E67+1))</x:f>
      </x:c>
      <x:c r="T67" s="6" t="str">
        <x:v>OpenAlex cited_by_count; title/DOI matched; conference version preferred when indexed</x:v>
      </x:c>
      <x:c r="U67" s="6" t="str">
        <x:v>https://api.openalex.org/works/https://doi.org/10.48550/arXiv.2601.07823</x:v>
      </x:c>
      <x:c r="V67" s="6" t="str">
        <x:v>2026-09-02</x:v>
      </x:c>
      <x:c r="W67" s="6" t="str"/>
    </x:row>
  </x:sheetData>
  <x:conditionalFormatting sqref="A2:W67">
    <x:cfRule type="expression" dxfId="0" priority="1">
      <x:formula>$M2="Yes"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427aca364b2e48bf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13" hidden="0" customWidth="1"/>
    <x:col min="3" max="3" width="24" hidden="0" customWidth="1"/>
    <x:col min="4" max="4" width="14" hidden="0" customWidth="1"/>
    <x:col min="5" max="5" width="28" hidden="0" customWidth="1"/>
    <x:col min="6" max="6" width="20" hidden="0" customWidth="1"/>
    <x:col min="7" max="7" width="22" hidden="0" customWidth="1"/>
    <x:col min="8" max="8" width="18" hidden="0" customWidth="1"/>
    <x:col min="9" max="9" width="12" hidden="0" customWidth="1"/>
    <x:col min="10" max="10" width="12" hidden="0" customWidth="1"/>
    <x:col min="11" max="11" width="15" hidden="0" customWidth="1"/>
    <x:col min="12" max="12" width="15" hidden="0" customWidth="1"/>
    <x:col min="13" max="13" width="18" hidden="0" customWidth="1"/>
    <x:col min="14" max="14" width="14" hidden="0" customWidth="1"/>
    <x:col min="15" max="15" width="38" hidden="0" customWidth="1"/>
    <x:col min="16" max="16" width="38" hidden="0" customWidth="1"/>
    <x:col min="17" max="17" width="16" hidden="0" customWidth="1"/>
    <x:col min="18" max="18" width="52" hidden="0" customWidth="1"/>
    <x:col min="19" max="19" width="42" hidden="0" customWidth="1"/>
    <x:col min="20" max="20" width="45" hidden="0" customWidth="1"/>
    <x:col min="21" max="21" width="45" hidden="0" customWidth="1"/>
    <x:col min="22" max="22" width="17" hidden="0" customWidth="1"/>
    <x:col min="23" max="23" width="16" hidden="0" customWidth="1"/>
    <x:col min="24" max="24" width="19" hidden="0" customWidth="1"/>
    <x:col min="25" max="25" width="18" hidden="0" customWidth="1"/>
    <x:col min="26" max="26" width="20" hidden="0" customWidth="1"/>
    <x:col min="27" max="27" width="38" hidden="0" customWidth="1"/>
    <x:col min="28" max="28" width="14" hidden="0" customWidth="1"/>
    <x:col min="29" max="29" width="28" hidden="0" customWidth="1"/>
    <x:col min="30" max="30" width="25" hidden="0" customWidth="1"/>
    <x:col min="31" max="31" width="38" hidden="0" customWidth="1"/>
  </x:cols>
  <x:sheetData>
    <x:row r="1">
      <x:c r="A1" s="11" t="str">
        <x:v>Impact_rank</x:v>
      </x:c>
      <x:c r="B1" s="14" t="str">
        <x:v>Researcher_ID</x:v>
      </x:c>
      <x:c r="C1" s="14" t="str">
        <x:v>Name</x:v>
      </x:c>
      <x:c r="D1" s="14" t="str">
        <x:v>Region_cluster</x:v>
      </x:c>
      <x:c r="E1" s="14" t="str">
        <x:v>Evidence_organization</x:v>
      </x:c>
      <x:c r="F1" s="14" t="str">
        <x:v>Origin_architecture</x:v>
      </x:c>
      <x:c r="G1" s="14" t="str">
        <x:v>Robot_primary_role</x:v>
      </x:c>
      <x:c r="H1" s="14" t="str">
        <x:v>Transition_type</x:v>
      </x:c>
      <x:c r="I1" s="14" t="str">
        <x:v>G_score_0_3</x:v>
      </x:c>
      <x:c r="J1" s="14" t="str">
        <x:v>U_score_0_3</x:v>
      </x:c>
      <x:c r="K1" s="14" t="str">
        <x:v>Robotics_score_0_3</x:v>
      </x:c>
      <x:c r="L1" s="14" t="str">
        <x:v>Video_important</x:v>
      </x:c>
      <x:c r="M1" s="14" t="str">
        <x:v>Robotics_important</x:v>
      </x:c>
      <x:c r="N1" s="14" t="str">
        <x:v>Important_both</x:v>
      </x:c>
      <x:c r="O1" s="14" t="str">
        <x:v>Key_video_paper</x:v>
      </x:c>
      <x:c r="P1" s="14" t="str">
        <x:v>Key_robotics_paper</x:v>
      </x:c>
      <x:c r="Q1" s="14" t="str">
        <x:v>Evidence_strength</x:v>
      </x:c>
      <x:c r="R1" s="14" t="str">
        <x:v>Interpretation_note</x:v>
      </x:c>
      <x:c r="S1" s="14" t="str">
        <x:v>Profile_URL</x:v>
      </x:c>
      <x:c r="T1" s="14" t="str">
        <x:v>Video_evidence_URL</x:v>
      </x:c>
      <x:c r="U1" s="14" t="str">
        <x:v>Robotics_evidence_URL</x:v>
      </x:c>
      <x:c r="V1" s="14" t="str">
        <x:v>Representative_video_Paper_ID</x:v>
      </x:c>
      <x:c r="W1" s="14" t="str">
        <x:v>Video_citations</x:v>
      </x:c>
      <x:c r="X1" s="14" t="str">
        <x:v>Representative_robotics_Paper_ID</x:v>
      </x:c>
      <x:c r="Y1" s="14" t="str">
        <x:v>Robotics_citations</x:v>
      </x:c>
      <x:c r="Z1" s="14" t="str">
        <x:v>Bridge_impact_score</x:v>
      </x:c>
      <x:c r="AA1" s="14" t="str">
        <x:v>Citation_coverage</x:v>
      </x:c>
      <x:c r="AB1" s="14" t="str">
        <x:v>Citation_as_of</x:v>
      </x:c>
      <x:c r="AC1" s="14" t="str">
        <x:v>Representative_video_mechanism</x:v>
      </x:c>
      <x:c r="AD1" s="14" t="str">
        <x:v>Representative_robot_output_description</x:v>
      </x:c>
      <x:c r="AE1" s="12" t="str">
        <x:v>Audit_status</x:v>
      </x:c>
    </x:row>
    <x:row r="2">
      <x:c r="A2" s="6" t="n">
        <x:f>IF(Z2="","",1+COUNTIF($Z$2:$Z$53,"&gt;"&amp;Z2))</x:f>
        <x:v>1</x:v>
      </x:c>
      <x:c r="B2" s="6" t="str">
        <x:v>R024</x:v>
      </x:c>
      <x:c r="C2" s="6" t="str">
        <x:v>Chelsea Finn</x:v>
      </x:c>
      <x:c r="D2" s="6" t="str">
        <x:v>US</x:v>
      </x:c>
      <x:c r="E2" s="6" t="str">
        <x:v>Stanford</x:v>
      </x:c>
      <x:c r="F2" s="6" t="str">
        <x:v>G2</x:v>
      </x:c>
      <x:c r="G2" s="6" t="str">
        <x:v>Planning</x:v>
      </x:c>
      <x:c r="H2" s="6" t="str">
        <x:v>Native hybrid</x:v>
      </x:c>
      <x:c r="I2" s="6" t="n">
        <x:v>2</x:v>
      </x:c>
      <x:c r="J2" s="6" t="n">
        <x:v>2</x:v>
      </x:c>
      <x:c r="K2" s="6" t="n">
        <x:v>3</x:v>
      </x:c>
      <x:c r="L2" s="6" t="str">
        <x:v>Yes</x:v>
      </x:c>
      <x:c r="M2" s="6" t="str">
        <x:v>Yes</x:v>
      </x:c>
      <x:c r="N2" s="6" t="str">
        <x:f>IF(AND(L2="Yes",M2="Yes"),"Yes","No")</x:f>
        <x:v>Yes</x:v>
      </x:c>
      <x:c r="O2" s="6" t="str">
        <x:v>Visual foresight / video prediction</x:v>
      </x:c>
      <x:c r="P2" s="6" t="str">
        <x:v>Visual Foresight</x:v>
      </x:c>
      <x:c r="Q2" s="6" t="str">
        <x:v>High</x:v>
      </x:c>
      <x:c r="R2" s="6" t="str">
        <x:v>Robotics-led hybrid; not a literal career switch</x:v>
      </x:c>
      <x:c r="S2" s="6" t="str">
        <x:v>https://ai.stanford.edu/~cbfinn/</x:v>
      </x:c>
      <x:c r="T2" s="6" t="str">
        <x:v>https://arxiv.org/abs/1610.00696</x:v>
      </x:c>
      <x:c r="U2" s="6" t="str">
        <x:v>https://arxiv.org/abs/1812.00568</x:v>
      </x:c>
      <x:c r="V2" s="6" t="str">
        <x:v>P009</x:v>
      </x:c>
      <x:c r="W2" s="6" t="n">
        <x:v>627</x:v>
      </x:c>
      <x:c r="X2" s="6" t="str">
        <x:v>P056</x:v>
      </x:c>
      <x:c r="Y2" s="6" t="n">
        <x:v>264</x:v>
      </x:c>
      <x:c r="Z2" s="15" t="n">
        <x:f>IF(AND(N2="Yes",AA2="Both distinct selected papers covered"),SQRT((W2+1)*(Y2+1))*IF(Q2="High",1,0.8),"")</x:f>
        <x:v>407.9460748677452</x:v>
      </x:c>
      <x:c r="AA2" s="6" t="str">
        <x:v>Both distinct selected papers covered</x:v>
      </x:c>
      <x:c r="AB2" s="6" t="str">
        <x:v>2026-09-02</x:v>
      </x:c>
      <x:c r="AC2" s="6" t="str">
        <x:v>G2</x:v>
      </x:c>
      <x:c r="AD2" s="6" t="str">
        <x:v>Predicted future video/state</x:v>
      </x:c>
      <x:c r="AE2" s="6" t="str">
        <x:v>Verified distinct paper pair</x:v>
      </x:c>
    </x:row>
    <x:row r="3">
      <x:c r="A3" s="6" t="n">
        <x:f>IF(Z3="","",1+COUNTIF($Z$2:$Z$53,"&gt;"&amp;Z3))</x:f>
        <x:v>1</x:v>
      </x:c>
      <x:c r="B3" s="6" t="str">
        <x:v>R025</x:v>
      </x:c>
      <x:c r="C3" s="6" t="str">
        <x:v>Sergey Levine</x:v>
      </x:c>
      <x:c r="D3" s="6" t="str">
        <x:v>US</x:v>
      </x:c>
      <x:c r="E3" s="6" t="str">
        <x:v>UC Berkeley</x:v>
      </x:c>
      <x:c r="F3" s="6" t="str">
        <x:v>G2</x:v>
      </x:c>
      <x:c r="G3" s="6" t="str">
        <x:v>Planning</x:v>
      </x:c>
      <x:c r="H3" s="6" t="str">
        <x:v>Native hybrid</x:v>
      </x:c>
      <x:c r="I3" s="6" t="n">
        <x:v>2</x:v>
      </x:c>
      <x:c r="J3" s="6" t="n">
        <x:v>2</x:v>
      </x:c>
      <x:c r="K3" s="6" t="n">
        <x:v>3</x:v>
      </x:c>
      <x:c r="L3" s="6" t="str">
        <x:v>Yes</x:v>
      </x:c>
      <x:c r="M3" s="6" t="str">
        <x:v>Yes</x:v>
      </x:c>
      <x:c r="N3" s="6" t="str">
        <x:f>IF(AND(L3="Yes",M3="Yes"),"Yes","No")</x:f>
        <x:v>Yes</x:v>
      </x:c>
      <x:c r="O3" s="6" t="str">
        <x:v>Visual foresight</x:v>
      </x:c>
      <x:c r="P3" s="6" t="str">
        <x:v>Visual Foresight</x:v>
      </x:c>
      <x:c r="Q3" s="6" t="str">
        <x:v>High</x:v>
      </x:c>
      <x:c r="R3" s="6" t="str">
        <x:v>Foundational action-conditioned visual prediction for control</x:v>
      </x:c>
      <x:c r="S3" s="6" t="str">
        <x:v>https://people.eecs.berkeley.edu/~svlevine/</x:v>
      </x:c>
      <x:c r="T3" s="6" t="str">
        <x:v>https://arxiv.org/abs/1610.00696</x:v>
      </x:c>
      <x:c r="U3" s="6" t="str">
        <x:v>https://arxiv.org/abs/1812.00568</x:v>
      </x:c>
      <x:c r="V3" s="6" t="str">
        <x:v>P009</x:v>
      </x:c>
      <x:c r="W3" s="6" t="n">
        <x:v>627</x:v>
      </x:c>
      <x:c r="X3" s="6" t="str">
        <x:v>P056</x:v>
      </x:c>
      <x:c r="Y3" s="6" t="n">
        <x:v>264</x:v>
      </x:c>
      <x:c r="Z3" s="15" t="n">
        <x:f>IF(AND(N3="Yes",AA3="Both distinct selected papers covered"),SQRT((W3+1)*(Y3+1))*IF(Q3="High",1,0.8),"")</x:f>
        <x:v>407.9460748677452</x:v>
      </x:c>
      <x:c r="AA3" s="6" t="str">
        <x:v>Both distinct selected papers covered</x:v>
      </x:c>
      <x:c r="AB3" s="6" t="str">
        <x:v>2026-09-02</x:v>
      </x:c>
      <x:c r="AC3" s="6" t="str">
        <x:v>G2</x:v>
      </x:c>
      <x:c r="AD3" s="6" t="str">
        <x:v>Predicted future video/state</x:v>
      </x:c>
      <x:c r="AE3" s="6" t="str">
        <x:v>Verified distinct paper pair</x:v>
      </x:c>
    </x:row>
    <x:row r="4">
      <x:c r="A4" s="6" t="n">
        <x:f>IF(Z4="","",1+COUNTIF($Z$2:$Z$53,"&gt;"&amp;Z4))</x:f>
        <x:v>3</x:v>
      </x:c>
      <x:c r="B4" s="6" t="str">
        <x:v>R049</x:v>
      </x:c>
      <x:c r="C4" s="6" t="str">
        <x:v>Thomas Brox</x:v>
      </x:c>
      <x:c r="D4" s="6" t="str">
        <x:v>Europe</x:v>
      </x:c>
      <x:c r="E4" s="6" t="str">
        <x:v>University of Freiburg</x:v>
      </x:c>
      <x:c r="F4" s="6" t="str">
        <x:v>U2</x:v>
      </x:c>
      <x:c r="G4" s="6" t="str">
        <x:v>Direct policy</x:v>
      </x:c>
      <x:c r="H4" s="6" t="str">
        <x:v>Native hybrid</x:v>
      </x:c>
      <x:c r="I4" s="6" t="n">
        <x:v>1</x:v>
      </x:c>
      <x:c r="J4" s="6" t="n">
        <x:v>3</x:v>
      </x:c>
      <x:c r="K4" s="6" t="n">
        <x:v>3</x:v>
      </x:c>
      <x:c r="L4" s="6" t="str">
        <x:v>Yes</x:v>
      </x:c>
      <x:c r="M4" s="6" t="str">
        <x:v>Yes</x:v>
      </x:c>
      <x:c r="N4" s="6" t="str">
        <x:f>IF(AND(L4="Yes",M4="Yes"),"Yes","No")</x:f>
        <x:v>Yes</x:v>
      </x:c>
      <x:c r="O4" s="6" t="str">
        <x:v>FlowNet</x:v>
      </x:c>
      <x:c r="P4" s="6" t="str">
        <x:v>FlowControl</x:v>
      </x:c>
      <x:c r="Q4" s="6" t="str">
        <x:v>High</x:v>
      </x:c>
      <x:c r="R4" s="6" t="str">
        <x:v>Foundational motion understanding with robotics transfer</x:v>
      </x:c>
      <x:c r="S4" s="6" t="str">
        <x:v>https://lmb.informatik.uni-freiburg.de/people/brox/</x:v>
      </x:c>
      <x:c r="T4" s="6" t="str">
        <x:v>https://arxiv.org/abs/1504.06852</x:v>
      </x:c>
      <x:c r="U4" s="6" t="str">
        <x:v>https://arxiv.org/abs/2007.00291</x:v>
      </x:c>
      <x:c r="V4" s="6" t="str">
        <x:v>P062</x:v>
      </x:c>
      <x:c r="W4" s="6" t="n">
        <x:v>4270</x:v>
      </x:c>
      <x:c r="X4" s="6" t="str">
        <x:v>P063</x:v>
      </x:c>
      <x:c r="Y4" s="6" t="n">
        <x:v>3</x:v>
      </x:c>
      <x:c r="Z4" s="15" t="n">
        <x:f>IF(AND(N4="Yes",AA4="Both distinct selected papers covered"),SQRT((W4+1)*(Y4+1))*IF(Q4="High",1,0.8),"")</x:f>
        <x:v>130.70577645995604</x:v>
      </x:c>
      <x:c r="AA4" s="6" t="str">
        <x:v>Both distinct selected papers covered</x:v>
      </x:c>
      <x:c r="AB4" s="6" t="str">
        <x:v>2026-09-02</x:v>
      </x:c>
      <x:c r="AC4" s="6" t="str">
        <x:v>U2</x:v>
      </x:c>
      <x:c r="AD4" s="6" t="str">
        <x:v>Action trajectory/tokens</x:v>
      </x:c>
      <x:c r="AE4" s="6" t="str">
        <x:v>Verified distinct paper pair</x:v>
      </x:c>
    </x:row>
    <x:row r="5">
      <x:c r="A5" s="6" t="n">
        <x:f>IF(Z5="","",1+COUNTIF($Z$2:$Z$53,"&gt;"&amp;Z5))</x:f>
        <x:v>4</x:v>
      </x:c>
      <x:c r="B5" s="6" t="str">
        <x:v>R026</x:v>
      </x:c>
      <x:c r="C5" s="6" t="str">
        <x:v>Frederik Ebert</x:v>
      </x:c>
      <x:c r="D5" s="6" t="str">
        <x:v>US</x:v>
      </x:c>
      <x:c r="E5" s="6" t="str">
        <x:v>UC Berkeley</x:v>
      </x:c>
      <x:c r="F5" s="6" t="str">
        <x:v>G2</x:v>
      </x:c>
      <x:c r="G5" s="6" t="str">
        <x:v>Data generation</x:v>
      </x:c>
      <x:c r="H5" s="6" t="str">
        <x:v>Native hybrid</x:v>
      </x:c>
      <x:c r="I5" s="6" t="n">
        <x:v>2</x:v>
      </x:c>
      <x:c r="J5" s="6" t="n">
        <x:v>1</x:v>
      </x:c>
      <x:c r="K5" s="6" t="n">
        <x:v>3</x:v>
      </x:c>
      <x:c r="L5" s="6" t="str">
        <x:v>Yes</x:v>
      </x:c>
      <x:c r="M5" s="6" t="str">
        <x:v>Yes</x:v>
      </x:c>
      <x:c r="N5" s="6" t="str">
        <x:f>IF(AND(L5="Yes",M5="Yes"),"Yes","No")</x:f>
        <x:v>Yes</x:v>
      </x:c>
      <x:c r="O5" s="6" t="str">
        <x:v>Visual foresight</x:v>
      </x:c>
      <x:c r="P5" s="6" t="str">
        <x:v>Visual MPC</x:v>
      </x:c>
      <x:c r="Q5" s="6" t="str">
        <x:v>High</x:v>
      </x:c>
      <x:c r="R5" s="6" t="str">
        <x:v>Foundational robot video prediction</x:v>
      </x:c>
      <x:c r="S5" s="6" t="str">
        <x:v>https://febert.github.io/</x:v>
      </x:c>
      <x:c r="T5" s="6" t="str">
        <x:v>https://arxiv.org/abs/1812.00568</x:v>
      </x:c>
      <x:c r="U5" s="6" t="str">
        <x:v>https://arxiv.org/abs/1610.00696</x:v>
      </x:c>
      <x:c r="V5" s="6" t="str">
        <x:v>P056</x:v>
      </x:c>
      <x:c r="W5" s="6" t="n">
        <x:v>264</x:v>
      </x:c>
      <x:c r="X5" s="6" t="str">
        <x:v>P037</x:v>
      </x:c>
      <x:c r="Y5" s="6" t="n">
        <x:v>16</x:v>
      </x:c>
      <x:c r="Z5" s="15" t="n">
        <x:f>IF(AND(N5="Yes",AA5="Both distinct selected papers covered"),SQRT((W5+1)*(Y5+1))*IF(Q5="High",1,0.8),"")</x:f>
        <x:v>67.11929677819934</x:v>
      </x:c>
      <x:c r="AA5" s="6" t="str">
        <x:v>Both distinct selected papers covered</x:v>
      </x:c>
      <x:c r="AB5" s="6" t="str">
        <x:v>2026-09-02</x:v>
      </x:c>
      <x:c r="AC5" s="6" t="str">
        <x:v>G2</x:v>
      </x:c>
      <x:c r="AD5" s="6" t="str">
        <x:v>Dataset/benchmark</x:v>
      </x:c>
      <x:c r="AE5" s="6" t="str">
        <x:v>Verified distinct paper pair</x:v>
      </x:c>
    </x:row>
    <x:row r="6">
      <x:c r="A6" s="6" t="n">
        <x:f>IF(Z6="","",1+COUNTIF($Z$2:$Z$53,"&gt;"&amp;Z6))</x:f>
        <x:v>4</x:v>
      </x:c>
      <x:c r="B6" s="6" t="str">
        <x:v>R034</x:v>
      </x:c>
      <x:c r="C6" s="6" t="str">
        <x:v>Sudeep Dasari</x:v>
      </x:c>
      <x:c r="D6" s="6" t="str">
        <x:v>US</x:v>
      </x:c>
      <x:c r="E6" s="6" t="str">
        <x:v>Carnegie Mellon / UC Berkeley</x:v>
      </x:c>
      <x:c r="F6" s="6" t="str">
        <x:v>G2</x:v>
      </x:c>
      <x:c r="G6" s="6" t="str">
        <x:v>Data generation</x:v>
      </x:c>
      <x:c r="H6" s="6" t="str">
        <x:v>Bridger</x:v>
      </x:c>
      <x:c r="I6" s="6" t="n">
        <x:v>1</x:v>
      </x:c>
      <x:c r="J6" s="6" t="n">
        <x:v>3</x:v>
      </x:c>
      <x:c r="K6" s="6" t="n">
        <x:v>3</x:v>
      </x:c>
      <x:c r="L6" s="6" t="str">
        <x:v>Yes</x:v>
      </x:c>
      <x:c r="M6" s="6" t="str">
        <x:v>Yes</x:v>
      </x:c>
      <x:c r="N6" s="6" t="str">
        <x:f>IF(AND(L6="Yes",M6="Yes"),"Yes","No")</x:f>
        <x:v>Yes</x:v>
      </x:c>
      <x:c r="O6" s="6" t="str">
        <x:v>Robot learning from video</x:v>
      </x:c>
      <x:c r="P6" s="6" t="str">
        <x:v>RoboNet; one-shot imitation</x:v>
      </x:c>
      <x:c r="Q6" s="6" t="str">
        <x:v>High</x:v>
      </x:c>
      <x:c r="R6" s="6" t="str">
        <x:v>Video-data scale and imitation bridge</x:v>
      </x:c>
      <x:c r="S6" s="6" t="str">
        <x:v>https://sudeepdasari.github.io/</x:v>
      </x:c>
      <x:c r="T6" s="6" t="str">
        <x:v>https://arxiv.org/abs/1812.00568</x:v>
      </x:c>
      <x:c r="U6" s="6" t="str">
        <x:v>https://arxiv.org/abs/1910.11215</x:v>
      </x:c>
      <x:c r="V6" s="6" t="str">
        <x:v>P056</x:v>
      </x:c>
      <x:c r="W6" s="6" t="n">
        <x:v>264</x:v>
      </x:c>
      <x:c r="X6" s="6" t="str">
        <x:v>P037</x:v>
      </x:c>
      <x:c r="Y6" s="6" t="n">
        <x:v>16</x:v>
      </x:c>
      <x:c r="Z6" s="15" t="n">
        <x:f>IF(AND(N6="Yes",AA6="Both distinct selected papers covered"),SQRT((W6+1)*(Y6+1))*IF(Q6="High",1,0.8),"")</x:f>
        <x:v>67.11929677819934</x:v>
      </x:c>
      <x:c r="AA6" s="6" t="str">
        <x:v>Both distinct selected papers covered</x:v>
      </x:c>
      <x:c r="AB6" s="6" t="str">
        <x:v>2026-09-02</x:v>
      </x:c>
      <x:c r="AC6" s="6" t="str">
        <x:v>G2</x:v>
      </x:c>
      <x:c r="AD6" s="6" t="str">
        <x:v>Dataset/benchmark</x:v>
      </x:c>
      <x:c r="AE6" s="6" t="str">
        <x:v>Verified distinct paper pair</x:v>
      </x:c>
    </x:row>
    <x:row r="7">
      <x:c r="A7" s="6" t="n">
        <x:f>IF(Z7="","",1+COUNTIF($Z$2:$Z$53,"&gt;"&amp;Z7))</x:f>
        <x:v>6</x:v>
      </x:c>
      <x:c r="B7" s="6" t="str">
        <x:v>R055</x:v>
      </x:c>
      <x:c r="C7" s="6" t="str">
        <x:v>Linxi Fan</x:v>
      </x:c>
      <x:c r="D7" s="6" t="str">
        <x:v>US</x:v>
      </x:c>
      <x:c r="E7" s="6" t="str">
        <x:v>NVIDIA</x:v>
      </x:c>
      <x:c r="F7" s="6" t="str">
        <x:v>VL</x:v>
      </x:c>
      <x:c r="G7" s="6" t="str">
        <x:v>Direct policy</x:v>
      </x:c>
      <x:c r="H7" s="6" t="str">
        <x:v>Native hybrid</x:v>
      </x:c>
      <x:c r="I7" s="6" t="n">
        <x:v>1</x:v>
      </x:c>
      <x:c r="J7" s="6" t="n">
        <x:v>3</x:v>
      </x:c>
      <x:c r="K7" s="6" t="n">
        <x:v>3</x:v>
      </x:c>
      <x:c r="L7" s="6" t="str">
        <x:v>Yes</x:v>
      </x:c>
      <x:c r="M7" s="6" t="str">
        <x:v>Yes</x:v>
      </x:c>
      <x:c r="N7" s="6" t="str">
        <x:f>IF(AND(L7="Yes",M7="Yes"),"Yes","No")</x:f>
        <x:v>Yes</x:v>
      </x:c>
      <x:c r="O7" s="6" t="str">
        <x:v>Video-language learning</x:v>
      </x:c>
      <x:c r="P7" s="6" t="str">
        <x:v>MineDojo; VIMA</x:v>
      </x:c>
      <x:c r="Q7" s="6" t="str">
        <x:v>High</x:v>
      </x:c>
      <x:c r="R7" s="6" t="str">
        <x:v>Video-language knowledge used for embodied agents</x:v>
      </x:c>
      <x:c r="S7" s="6" t="str">
        <x:v>https://linxi.ai/</x:v>
      </x:c>
      <x:c r="T7" s="6" t="str">
        <x:v>https://arxiv.org/abs/2206.08853</x:v>
      </x:c>
      <x:c r="U7" s="6" t="str">
        <x:v>https://openreview.net/forum?id=oU2DzdTI94</x:v>
      </x:c>
      <x:c r="V7" s="6" t="str">
        <x:v>P024</x:v>
      </x:c>
      <x:c r="W7" s="6" t="n">
        <x:v>59</x:v>
      </x:c>
      <x:c r="X7" s="6" t="str">
        <x:v>P019</x:v>
      </x:c>
      <x:c r="Y7" s="6" t="n">
        <x:v>65</x:v>
      </x:c>
      <x:c r="Z7" s="15" t="n">
        <x:f>IF(AND(N7="Yes",AA7="Both distinct selected papers covered"),SQRT((W7+1)*(Y7+1))*IF(Q7="High",1,0.8),"")</x:f>
        <x:v>62.928530890209096</x:v>
      </x:c>
      <x:c r="AA7" s="6" t="str">
        <x:v>Both distinct selected papers covered</x:v>
      </x:c>
      <x:c r="AB7" s="6" t="str">
        <x:v>2026-09-02</x:v>
      </x:c>
      <x:c r="AC7" s="6" t="str">
        <x:v>VL</x:v>
      </x:c>
      <x:c r="AD7" s="6" t="str">
        <x:v>Action trajectory/tokens</x:v>
      </x:c>
      <x:c r="AE7" s="6" t="str">
        <x:v>Verified distinct paper pair</x:v>
      </x:c>
    </x:row>
    <x:row r="8">
      <x:c r="A8" s="6" t="n">
        <x:f>IF(Z8="","",1+COUNTIF($Z$2:$Z$53,"&gt;"&amp;Z8))</x:f>
        <x:v>7</x:v>
      </x:c>
      <x:c r="B8" s="6" t="str">
        <x:v>R001</x:v>
      </x:c>
      <x:c r="C8" s="6" t="str">
        <x:v>Agrim Gupta</x:v>
      </x:c>
      <x:c r="D8" s="6" t="str">
        <x:v>US</x:v>
      </x:c>
      <x:c r="E8" s="6" t="str">
        <x:v>Stanford / Google DeepMind</x:v>
      </x:c>
      <x:c r="F8" s="6" t="str">
        <x:v>G1</x:v>
      </x:c>
      <x:c r="G8" s="6" t="str">
        <x:v>Direct policy</x:v>
      </x:c>
      <x:c r="H8" s="6" t="str">
        <x:v>Bridger</x:v>
      </x:c>
      <x:c r="I8" s="6" t="n">
        <x:v>3</x:v>
      </x:c>
      <x:c r="J8" s="6" t="n">
        <x:v>2</x:v>
      </x:c>
      <x:c r="K8" s="6" t="n">
        <x:v>3</x:v>
      </x:c>
      <x:c r="L8" s="6" t="str">
        <x:v>Yes</x:v>
      </x:c>
      <x:c r="M8" s="6" t="str">
        <x:v>Yes</x:v>
      </x:c>
      <x:c r="N8" s="6" t="str">
        <x:f>IF(AND(L8="Yes",M8="Yes"),"Yes","No")</x:f>
        <x:v>Yes</x:v>
      </x:c>
      <x:c r="O8" s="6" t="str">
        <x:v>WALT</x:v>
      </x:c>
      <x:c r="P8" s="6" t="str">
        <x:v>VIMA; RoboCat; Gemini Robotics 1.5</x:v>
      </x:c>
      <x:c r="Q8" s="6" t="str">
        <x:v>High</x:v>
      </x:c>
      <x:c r="R8" s="6" t="str">
        <x:v>Canonical generation→robotics bridge</x:v>
      </x:c>
      <x:c r="S8" s="6" t="str">
        <x:v>https://web.stanford.edu/~agrim/</x:v>
      </x:c>
      <x:c r="T8" s="6" t="str">
        <x:v>https://arxiv.org/abs/2312.06662</x:v>
      </x:c>
      <x:c r="U8" s="6" t="str">
        <x:v>https://openreview.net/forum?id=oU2DzdTI94</x:v>
      </x:c>
      <x:c r="V8" s="6" t="str">
        <x:v>P001</x:v>
      </x:c>
      <x:c r="W8" s="6" t="n">
        <x:v>7</x:v>
      </x:c>
      <x:c r="X8" s="6" t="str">
        <x:v>P019</x:v>
      </x:c>
      <x:c r="Y8" s="6" t="n">
        <x:v>65</x:v>
      </x:c>
      <x:c r="Z8" s="15" t="n">
        <x:f>IF(AND(N8="Yes",AA8="Both distinct selected papers covered"),SQRT((W8+1)*(Y8+1))*IF(Q8="High",1,0.8),"")</x:f>
        <x:v>22.978250586152114</x:v>
      </x:c>
      <x:c r="AA8" s="6" t="str">
        <x:v>Both distinct selected papers covered</x:v>
      </x:c>
      <x:c r="AB8" s="6" t="str">
        <x:v>2026-09-02</x:v>
      </x:c>
      <x:c r="AC8" s="6" t="str">
        <x:v>G1</x:v>
      </x:c>
      <x:c r="AD8" s="6" t="str">
        <x:v>Action trajectory/tokens</x:v>
      </x:c>
      <x:c r="AE8" s="6" t="str">
        <x:v>Verified distinct paper pair</x:v>
      </x:c>
    </x:row>
    <x:row r="9">
      <x:c r="A9" s="6" t="n">
        <x:f>IF(Z9="","",1+COUNTIF($Z$2:$Z$53,"&gt;"&amp;Z9))</x:f>
        <x:v>7</x:v>
      </x:c>
      <x:c r="B9" s="6" t="str">
        <x:v>R057</x:v>
      </x:c>
      <x:c r="C9" s="6" t="str">
        <x:v>Fei-Fei Li</x:v>
      </x:c>
      <x:c r="D9" s="6" t="str">
        <x:v>US</x:v>
      </x:c>
      <x:c r="E9" s="6" t="str">
        <x:v>Stanford</x:v>
      </x:c>
      <x:c r="F9" s="6" t="str">
        <x:v>G1</x:v>
      </x:c>
      <x:c r="G9" s="6" t="str">
        <x:v>Direct policy</x:v>
      </x:c>
      <x:c r="H9" s="6" t="str">
        <x:v>Bridger</x:v>
      </x:c>
      <x:c r="I9" s="6" t="n">
        <x:v>1</x:v>
      </x:c>
      <x:c r="J9" s="6" t="n">
        <x:v>3</x:v>
      </x:c>
      <x:c r="K9" s="6" t="n">
        <x:v>3</x:v>
      </x:c>
      <x:c r="L9" s="6" t="str">
        <x:v>Yes</x:v>
      </x:c>
      <x:c r="M9" s="6" t="str">
        <x:v>Yes</x:v>
      </x:c>
      <x:c r="N9" s="6" t="str">
        <x:f>IF(AND(L9="Yes",M9="Yes"),"Yes","No")</x:f>
        <x:v>Yes</x:v>
      </x:c>
      <x:c r="O9" s="6" t="str">
        <x:v>Video/vision representation</x:v>
      </x:c>
      <x:c r="P9" s="6" t="str">
        <x:v>VIMA; Dream2Flow</x:v>
      </x:c>
      <x:c r="Q9" s="6" t="str">
        <x:v>High</x:v>
      </x:c>
      <x:c r="R9" s="6" t="str">
        <x:v>Senior bridge across vision, video and robotics</x:v>
      </x:c>
      <x:c r="S9" s="6" t="str">
        <x:v>https://profiles.stanford.edu/fei-fei-li</x:v>
      </x:c>
      <x:c r="T9" s="6" t="str">
        <x:v>https://arxiv.org/abs/2312.06662</x:v>
      </x:c>
      <x:c r="U9" s="6" t="str">
        <x:v>https://openreview.net/forum?id=oU2DzdTI94</x:v>
      </x:c>
      <x:c r="V9" s="6" t="str">
        <x:v>P001</x:v>
      </x:c>
      <x:c r="W9" s="6" t="n">
        <x:v>7</x:v>
      </x:c>
      <x:c r="X9" s="6" t="str">
        <x:v>P019</x:v>
      </x:c>
      <x:c r="Y9" s="6" t="n">
        <x:v>65</x:v>
      </x:c>
      <x:c r="Z9" s="15" t="n">
        <x:f>IF(AND(N9="Yes",AA9="Both distinct selected papers covered"),SQRT((W9+1)*(Y9+1))*IF(Q9="High",1,0.8),"")</x:f>
        <x:v>22.978250586152114</x:v>
      </x:c>
      <x:c r="AA9" s="6" t="str">
        <x:v>Both distinct selected papers covered</x:v>
      </x:c>
      <x:c r="AB9" s="6" t="str">
        <x:v>2026-09-02</x:v>
      </x:c>
      <x:c r="AC9" s="6" t="str">
        <x:v>G1</x:v>
      </x:c>
      <x:c r="AD9" s="6" t="str">
        <x:v>Action trajectory/tokens</x:v>
      </x:c>
      <x:c r="AE9" s="6" t="str">
        <x:v>Verified distinct paper pair</x:v>
      </x:c>
    </x:row>
    <x:row r="10">
      <x:c r="A10" s="6" t="n">
        <x:f>IF(Z10="","",1+COUNTIF($Z$2:$Z$53,"&gt;"&amp;Z10))</x:f>
        <x:v>9</x:v>
      </x:c>
      <x:c r="B10" s="6" t="str">
        <x:v>R008</x:v>
      </x:c>
      <x:c r="C10" s="6" t="str">
        <x:v>Yusuf Aytar</x:v>
      </x:c>
      <x:c r="D10" s="6" t="str">
        <x:v>Europe</x:v>
      </x:c>
      <x:c r="E10" s="6" t="str">
        <x:v>Google DeepMind London</x:v>
      </x:c>
      <x:c r="F10" s="6" t="str">
        <x:v>G1</x:v>
      </x:c>
      <x:c r="G10" s="6" t="str">
        <x:v>Direct policy</x:v>
      </x:c>
      <x:c r="H10" s="6" t="str">
        <x:v>Bridger</x:v>
      </x:c>
      <x:c r="I10" s="6" t="n">
        <x:v>1</x:v>
      </x:c>
      <x:c r="J10" s="6" t="n">
        <x:v>3</x:v>
      </x:c>
      <x:c r="K10" s="6" t="n">
        <x:v>3</x:v>
      </x:c>
      <x:c r="L10" s="6" t="str">
        <x:v>Yes</x:v>
      </x:c>
      <x:c r="M10" s="6" t="str">
        <x:v>Yes</x:v>
      </x:c>
      <x:c r="N10" s="6" t="str">
        <x:f>IF(AND(L10="Yes",M10="Yes"),"Yes","No")</x:f>
        <x:v>Yes</x:v>
      </x:c>
      <x:c r="O10" s="6" t="str">
        <x:v>Motion Prompting</x:v>
      </x:c>
      <x:c r="P10" s="6" t="str">
        <x:v>RoboCat</x:v>
      </x:c>
      <x:c r="Q10" s="6" t="str">
        <x:v>High</x:v>
      </x:c>
      <x:c r="R10" s="6" t="str">
        <x:v>Video-language/representation as reward and control signal</x:v>
      </x:c>
      <x:c r="S10" s="6" t="str">
        <x:v>https://scholar.google.com/citations?user=7uZbwhsAAAAJ</x:v>
      </x:c>
      <x:c r="T10" s="6" t="str">
        <x:v>https://arxiv.org/abs/2412.02700</x:v>
      </x:c>
      <x:c r="U10" s="6" t="str">
        <x:v>https://arxiv.org/abs/2306.11706</x:v>
      </x:c>
      <x:c r="V10" s="6" t="str">
        <x:v>P057</x:v>
      </x:c>
      <x:c r="W10" s="6" t="n">
        <x:v>22</x:v>
      </x:c>
      <x:c r="X10" s="6" t="str">
        <x:v>P020</x:v>
      </x:c>
      <x:c r="Y10" s="6" t="n">
        <x:v>9</x:v>
      </x:c>
      <x:c r="Z10" s="15" t="n">
        <x:f>IF(AND(N10="Yes",AA10="Both distinct selected papers covered"),SQRT((W10+1)*(Y10+1))*IF(Q10="High",1,0.8),"")</x:f>
        <x:v>15.165750888103101</x:v>
      </x:c>
      <x:c r="AA10" s="6" t="str">
        <x:v>Both distinct selected papers covered</x:v>
      </x:c>
      <x:c r="AB10" s="6" t="str">
        <x:v>2026-09-02</x:v>
      </x:c>
      <x:c r="AC10" s="6" t="str">
        <x:v>G1</x:v>
      </x:c>
      <x:c r="AD10" s="6" t="str">
        <x:v>Action trajectory/tokens</x:v>
      </x:c>
      <x:c r="AE10" s="6" t="str">
        <x:v>Verified distinct paper pair</x:v>
      </x:c>
    </x:row>
    <x:row r="11">
      <x:c r="A11" s="6" t="n">
        <x:f>IF(Z11="","",1+COUNTIF($Z$2:$Z$53,"&gt;"&amp;Z11))</x:f>
        <x:v>10</x:v>
      </x:c>
      <x:c r="B11" s="6" t="str">
        <x:v>R042</x:v>
      </x:c>
      <x:c r="C11" s="6" t="str">
        <x:v>Cordelia Schmid</x:v>
      </x:c>
      <x:c r="D11" s="6" t="str">
        <x:v>Europe</x:v>
      </x:c>
      <x:c r="E11" s="6" t="str">
        <x:v>Inria / ENS Paris</x:v>
      </x:c>
      <x:c r="F11" s="6" t="str">
        <x:v>U2</x:v>
      </x:c>
      <x:c r="G11" s="6" t="str">
        <x:v>Direct policy</x:v>
      </x:c>
      <x:c r="H11" s="6" t="str">
        <x:v>Bridger</x:v>
      </x:c>
      <x:c r="I11" s="6" t="n">
        <x:v>1</x:v>
      </x:c>
      <x:c r="J11" s="6" t="n">
        <x:v>3</x:v>
      </x:c>
      <x:c r="K11" s="6" t="n">
        <x:v>3</x:v>
      </x:c>
      <x:c r="L11" s="6" t="str">
        <x:v>Yes</x:v>
      </x:c>
      <x:c r="M11" s="6" t="str">
        <x:v>Yes</x:v>
      </x:c>
      <x:c r="N11" s="6" t="str">
        <x:f>IF(AND(L11="Yes",M11="Yes"),"Yes","No")</x:f>
        <x:v>Yes</x:v>
      </x:c>
      <x:c r="O11" s="6" t="str">
        <x:v>Video action recognition / VideoBERT lineage</x:v>
      </x:c>
      <x:c r="P11" s="6" t="str">
        <x:v>Video-conditioned robot policies; ViViDex</x:v>
      </x:c>
      <x:c r="Q11" s="6" t="str">
        <x:v>High</x:v>
      </x:c>
      <x:c r="R11" s="6" t="str">
        <x:v>Major European understanding→robotics hub</x:v>
      </x:c>
      <x:c r="S11" s="6" t="str">
        <x:v>https://thoth.inrialpes.fr/~schmid/</x:v>
      </x:c>
      <x:c r="T11" s="6" t="str">
        <x:v>https://arxiv.org/abs/1904.01766</x:v>
      </x:c>
      <x:c r="U11" s="6" t="str">
        <x:v>https://arxiv.org/abs/2404.15709</x:v>
      </x:c>
      <x:c r="V11" s="6" t="str">
        <x:v>P023</x:v>
      </x:c>
      <x:c r="W11" s="6" t="n">
        <x:v>16</x:v>
      </x:c>
      <x:c r="X11" s="6" t="str">
        <x:v>P022</x:v>
      </x:c>
      <x:c r="Y11" s="6" t="n">
        <x:v>8</x:v>
      </x:c>
      <x:c r="Z11" s="15" t="n">
        <x:f>IF(AND(N11="Yes",AA11="Both distinct selected papers covered"),SQRT((W11+1)*(Y11+1))*IF(Q11="High",1,0.8),"")</x:f>
        <x:v>12.36931687685298</x:v>
      </x:c>
      <x:c r="AA11" s="6" t="str">
        <x:v>Both distinct selected papers covered</x:v>
      </x:c>
      <x:c r="AB11" s="6" t="str">
        <x:v>2026-09-02</x:v>
      </x:c>
      <x:c r="AC11" s="6" t="str">
        <x:v>U2</x:v>
      </x:c>
      <x:c r="AD11" s="6" t="str">
        <x:v>Action trajectory/tokens</x:v>
      </x:c>
      <x:c r="AE11" s="6" t="str">
        <x:v>Verified distinct paper pair</x:v>
      </x:c>
    </x:row>
    <x:row r="12">
      <x:c r="A12" s="6" t="n">
        <x:f>IF(Z12="","",1+COUNTIF($Z$2:$Z$53,"&gt;"&amp;Z12))</x:f>
        <x:v>11</x:v>
      </x:c>
      <x:c r="B12" s="6" t="str">
        <x:v>R033</x:v>
      </x:c>
      <x:c r="C12" s="6" t="str">
        <x:v>Yilun Du</x:v>
      </x:c>
      <x:c r="D12" s="6" t="str">
        <x:v>US</x:v>
      </x:c>
      <x:c r="E12" s="6" t="str">
        <x:v>Harvard / MIT lineage</x:v>
      </x:c>
      <x:c r="F12" s="6" t="str">
        <x:v>G1</x:v>
      </x:c>
      <x:c r="G12" s="6" t="str">
        <x:v>Planning</x:v>
      </x:c>
      <x:c r="H12" s="6" t="str">
        <x:v>Bridger</x:v>
      </x:c>
      <x:c r="I12" s="6" t="n">
        <x:v>3</x:v>
      </x:c>
      <x:c r="J12" s="6" t="n">
        <x:v>2</x:v>
      </x:c>
      <x:c r="K12" s="6" t="n">
        <x:v>3</x:v>
      </x:c>
      <x:c r="L12" s="6" t="str">
        <x:v>Yes</x:v>
      </x:c>
      <x:c r="M12" s="6" t="str">
        <x:v>Yes</x:v>
      </x:c>
      <x:c r="N12" s="6" t="str">
        <x:f>IF(AND(L12="Yes",M12="Yes"),"Yes","No")</x:f>
        <x:v>Yes</x:v>
      </x:c>
      <x:c r="O12" s="6" t="str">
        <x:v>Generative video/world models</x:v>
      </x:c>
      <x:c r="P12" s="6" t="str">
        <x:v>RoboDreamer</x:v>
      </x:c>
      <x:c r="Q12" s="6" t="str">
        <x:v>High</x:v>
      </x:c>
      <x:c r="R12" s="6" t="str">
        <x:v>Generative modeling directly used for compositional robot planning</x:v>
      </x:c>
      <x:c r="S12" s="6" t="str">
        <x:v>https://yilundu.github.io/</x:v>
      </x:c>
      <x:c r="T12" s="6" t="str">
        <x:v>https://arxiv.org/abs/2404.12377</x:v>
      </x:c>
      <x:c r="U12" s="6" t="str">
        <x:v>https://arxiv.org/abs/2404.12377</x:v>
      </x:c>
      <x:c r="V12" s="6" t="str">
        <x:v>P011</x:v>
      </x:c>
      <x:c r="W12" s="6" t="n">
        <x:v>29</x:v>
      </x:c>
      <x:c r="X12" s="6" t="str">
        <x:v>P012</x:v>
      </x:c>
      <x:c r="Y12" s="6" t="n">
        <x:v>4</x:v>
      </x:c>
      <x:c r="Z12" s="15" t="n">
        <x:f>IF(AND(N12="Yes",AA12="Both distinct selected papers covered"),SQRT((W12+1)*(Y12+1))*IF(Q12="High",1,0.8),"")</x:f>
        <x:v>12.24744871391589</x:v>
      </x:c>
      <x:c r="AA12" s="6" t="str">
        <x:v>Both distinct selected papers covered</x:v>
      </x:c>
      <x:c r="AB12" s="6" t="str">
        <x:v>2026-09-02</x:v>
      </x:c>
      <x:c r="AC12" s="6" t="str">
        <x:v>G1</x:v>
      </x:c>
      <x:c r="AD12" s="6" t="str">
        <x:v>Predicted future video/state</x:v>
      </x:c>
      <x:c r="AE12" s="6" t="str">
        <x:v>Verified distinct paper pair</x:v>
      </x:c>
    </x:row>
    <x:row r="13">
      <x:c r="A13" s="6" t="n">
        <x:f>IF(Z13="","",1+COUNTIF($Z$2:$Z$53,"&gt;"&amp;Z13))</x:f>
        <x:v>12</x:v>
      </x:c>
      <x:c r="B13" s="6" t="str">
        <x:v>R050</x:v>
      </x:c>
      <x:c r="C13" s="6" t="str">
        <x:v>Oliver Groth</x:v>
      </x:c>
      <x:c r="D13" s="6" t="str">
        <x:v>Europe</x:v>
      </x:c>
      <x:c r="E13" s="6" t="str">
        <x:v>Google DeepMind London</x:v>
      </x:c>
      <x:c r="F13" s="6" t="str">
        <x:v>G1</x:v>
      </x:c>
      <x:c r="G13" s="6" t="str">
        <x:v>Direct policy</x:v>
      </x:c>
      <x:c r="H13" s="6" t="str">
        <x:v>Bridger</x:v>
      </x:c>
      <x:c r="I13" s="6" t="n">
        <x:v>2</x:v>
      </x:c>
      <x:c r="J13" s="6" t="n">
        <x:v>2</x:v>
      </x:c>
      <x:c r="K13" s="6" t="n">
        <x:v>3</x:v>
      </x:c>
      <x:c r="L13" s="6" t="str">
        <x:v>Yes</x:v>
      </x:c>
      <x:c r="M13" s="6" t="str">
        <x:v>Yes</x:v>
      </x:c>
      <x:c r="N13" s="6" t="str">
        <x:f>IF(AND(L13="Yes",M13="Yes"),"Yes","No")</x:f>
        <x:v>Yes</x:v>
      </x:c>
      <x:c r="O13" s="6" t="str">
        <x:v>RELATE</x:v>
      </x:c>
      <x:c r="P13" s="6" t="str">
        <x:v>Mastering Stacking</x:v>
      </x:c>
      <x:c r="Q13" s="6" t="str">
        <x:v>High</x:v>
      </x:c>
      <x:c r="R13" s="6" t="str">
        <x:v>European object-centric world-model bridge</x:v>
      </x:c>
      <x:c r="S13" s="6" t="str">
        <x:v>https://scholar.google.com/scholar?q=Oliver+Groth+video+robotics</x:v>
      </x:c>
      <x:c r="T13" s="6" t="str">
        <x:v>https://arxiv.org/abs/2007.01272</x:v>
      </x:c>
      <x:c r="U13" s="6" t="str">
        <x:v>https://arxiv.org/abs/2312.11374</x:v>
      </x:c>
      <x:c r="V13" s="6" t="str">
        <x:v>P059</x:v>
      </x:c>
      <x:c r="W13" s="6" t="n">
        <x:v>22</x:v>
      </x:c>
      <x:c r="X13" s="6" t="str">
        <x:v>P060</x:v>
      </x:c>
      <x:c r="Y13" s="6" t="n">
        <x:v>3</x:v>
      </x:c>
      <x:c r="Z13" s="15" t="n">
        <x:f>IF(AND(N13="Yes",AA13="Both distinct selected papers covered"),SQRT((W13+1)*(Y13+1))*IF(Q13="High",1,0.8),"")</x:f>
        <x:v>9.591663046625438</x:v>
      </x:c>
      <x:c r="AA13" s="6" t="str">
        <x:v>Both distinct selected papers covered</x:v>
      </x:c>
      <x:c r="AB13" s="6" t="str">
        <x:v>2026-09-02</x:v>
      </x:c>
      <x:c r="AC13" s="6" t="str">
        <x:v>G1</x:v>
      </x:c>
      <x:c r="AD13" s="6" t="str">
        <x:v>Action trajectory/tokens</x:v>
      </x:c>
      <x:c r="AE13" s="6" t="str">
        <x:v>Verified distinct paper pair</x:v>
      </x:c>
    </x:row>
    <x:row r="14">
      <x:c r="A14" s="6" t="n">
        <x:f>IF(Z14="","",1+COUNTIF($Z$2:$Z$53,"&gt;"&amp;Z14))</x:f>
        <x:v>13</x:v>
      </x:c>
      <x:c r="B14" s="6" t="str">
        <x:v>R029</x:v>
      </x:c>
      <x:c r="C14" s="6" t="str">
        <x:v>Abhinav Gupta</x:v>
      </x:c>
      <x:c r="D14" s="6" t="str">
        <x:v>US</x:v>
      </x:c>
      <x:c r="E14" s="6" t="str">
        <x:v>Carnegie Mellon / Meta</x:v>
      </x:c>
      <x:c r="F14" s="6" t="str">
        <x:v>U2</x:v>
      </x:c>
      <x:c r="G14" s="6" t="str">
        <x:v>Direct policy</x:v>
      </x:c>
      <x:c r="H14" s="6" t="str">
        <x:v>Native hybrid</x:v>
      </x:c>
      <x:c r="I14" s="6" t="n">
        <x:v>1</x:v>
      </x:c>
      <x:c r="J14" s="6" t="n">
        <x:v>3</x:v>
      </x:c>
      <x:c r="K14" s="6" t="n">
        <x:v>3</x:v>
      </x:c>
      <x:c r="L14" s="6" t="str">
        <x:v>Yes</x:v>
      </x:c>
      <x:c r="M14" s="6" t="str">
        <x:v>Yes</x:v>
      </x:c>
      <x:c r="N14" s="6" t="str">
        <x:f>IF(AND(L14="Yes",M14="Yes"),"Yes","No")</x:f>
        <x:v>Yes</x:v>
      </x:c>
      <x:c r="O14" s="6" t="str">
        <x:v>Track2Act</x:v>
      </x:c>
      <x:c r="P14" s="6" t="str">
        <x:v>Gen2Act</x:v>
      </x:c>
      <x:c r="Q14" s="6" t="str">
        <x:v>High</x:v>
      </x:c>
      <x:c r="R14" s="6" t="str">
        <x:v>Long-running hybrid vision/robotics program</x:v>
      </x:c>
      <x:c r="S14" s="6" t="str">
        <x:v>https://www.cs.cmu.edu/~abhinavg/</x:v>
      </x:c>
      <x:c r="T14" s="6" t="str">
        <x:v>https://arxiv.org/abs/2405.01527</x:v>
      </x:c>
      <x:c r="U14" s="6" t="str">
        <x:v>https://arxiv.org/abs/2409.16283</x:v>
      </x:c>
      <x:c r="V14" s="6" t="str">
        <x:v>P064</x:v>
      </x:c>
      <x:c r="W14" s="6" t="n">
        <x:v>37</x:v>
      </x:c>
      <x:c r="X14" s="6" t="str">
        <x:v>P014</x:v>
      </x:c>
      <x:c r="Y14" s="6" t="n">
        <x:v>1</x:v>
      </x:c>
      <x:c r="Z14" s="15" t="n">
        <x:f>IF(AND(N14="Yes",AA14="Both distinct selected papers covered"),SQRT((W14+1)*(Y14+1))*IF(Q14="High",1,0.8),"")</x:f>
        <x:v>8.717797887081348</x:v>
      </x:c>
      <x:c r="AA14" s="6" t="str">
        <x:v>Both distinct selected papers covered</x:v>
      </x:c>
      <x:c r="AB14" s="6" t="str">
        <x:v>2026-09-02</x:v>
      </x:c>
      <x:c r="AC14" s="6" t="str">
        <x:v>U2</x:v>
      </x:c>
      <x:c r="AD14" s="6" t="str">
        <x:v>Generated image/video</x:v>
      </x:c>
      <x:c r="AE14" s="6" t="str">
        <x:v>Verified distinct paper pair</x:v>
      </x:c>
    </x:row>
    <x:row r="15">
      <x:c r="A15" s="6" t="n">
        <x:f>IF(Z15="","",1+COUNTIF($Z$2:$Z$53,"&gt;"&amp;Z15))</x:f>
        <x:v>14</x:v>
      </x:c>
      <x:c r="B15" s="6" t="str">
        <x:v>R011</x:v>
      </x:c>
      <x:c r="C15" s="6" t="str">
        <x:v>Adrien Bardes</x:v>
      </x:c>
      <x:c r="D15" s="6" t="str">
        <x:v>Europe</x:v>
      </x:c>
      <x:c r="E15" s="6" t="str">
        <x:v>Meta FAIR Paris</x:v>
      </x:c>
      <x:c r="F15" s="6" t="str">
        <x:v>U3</x:v>
      </x:c>
      <x:c r="G15" s="6" t="str">
        <x:v>Planning</x:v>
      </x:c>
      <x:c r="H15" s="6" t="str">
        <x:v>Bridger</x:v>
      </x:c>
      <x:c r="I15" s="6" t="n">
        <x:v>0</x:v>
      </x:c>
      <x:c r="J15" s="6" t="n">
        <x:v>3</x:v>
      </x:c>
      <x:c r="K15" s="6" t="n">
        <x:v>3</x:v>
      </x:c>
      <x:c r="L15" s="6" t="str">
        <x:v>Yes</x:v>
      </x:c>
      <x:c r="M15" s="6" t="str">
        <x:v>Yes</x:v>
      </x:c>
      <x:c r="N15" s="6" t="str">
        <x:f>IF(AND(L15="Yes",M15="Yes"),"Yes","No")</x:f>
        <x:v>Yes</x:v>
      </x:c>
      <x:c r="O15" s="6" t="str">
        <x:v>V-JEPA; V-JEPA 2</x:v>
      </x:c>
      <x:c r="P15" s="6" t="str">
        <x:v>V-JEPA 2-AC</x:v>
      </x:c>
      <x:c r="Q15" s="6" t="str">
        <x:v>High</x:v>
      </x:c>
      <x:c r="R15" s="6" t="str">
        <x:v>Core latent-predictive bridge</x:v>
      </x:c>
      <x:c r="S15" s="6" t="str">
        <x:v>https://arxiv.org/abs/2506.09985</x:v>
      </x:c>
      <x:c r="T15" s="6" t="str">
        <x:v>https://arxiv.org/abs/2506.09985</x:v>
      </x:c>
      <x:c r="U15" s="6" t="str">
        <x:v>https://arxiv.org/abs/2506.09985</x:v>
      </x:c>
      <x:c r="V15" s="6" t="str">
        <x:v>P003</x:v>
      </x:c>
      <x:c r="W15" s="6" t="n">
        <x:v>11</x:v>
      </x:c>
      <x:c r="X15" s="6" t="str">
        <x:v>P004</x:v>
      </x:c>
      <x:c r="Y15" s="6" t="n">
        <x:v>5</x:v>
      </x:c>
      <x:c r="Z15" s="15" t="n">
        <x:f>IF(AND(N15="Yes",AA15="Both distinct selected papers covered"),SQRT((W15+1)*(Y15+1))*IF(Q15="High",1,0.8),"")</x:f>
        <x:v>8.48528137423857</x:v>
      </x:c>
      <x:c r="AA15" s="6" t="str">
        <x:v>Both distinct selected papers covered</x:v>
      </x:c>
      <x:c r="AB15" s="6" t="str">
        <x:v>2026-09-02</x:v>
      </x:c>
      <x:c r="AC15" s="6" t="str">
        <x:v>U3</x:v>
      </x:c>
      <x:c r="AD15" s="6" t="str">
        <x:v>Representation/reward/value</x:v>
      </x:c>
      <x:c r="AE15" s="6" t="str">
        <x:v>Verified distinct paper pair</x:v>
      </x:c>
    </x:row>
    <x:row r="16">
      <x:c r="A16" s="6" t="n">
        <x:f>IF(Z16="","",1+COUNTIF($Z$2:$Z$53,"&gt;"&amp;Z16))</x:f>
        <x:v>14</x:v>
      </x:c>
      <x:c r="B16" s="6" t="str">
        <x:v>R010</x:v>
      </x:c>
      <x:c r="C16" s="6" t="str">
        <x:v>Mahmoud Assran</x:v>
      </x:c>
      <x:c r="D16" s="6" t="str">
        <x:v>Mixed</x:v>
      </x:c>
      <x:c r="E16" s="6" t="str">
        <x:v>Meta FAIR</x:v>
      </x:c>
      <x:c r="F16" s="6" t="str">
        <x:v>U3</x:v>
      </x:c>
      <x:c r="G16" s="6" t="str">
        <x:v>Planning</x:v>
      </x:c>
      <x:c r="H16" s="6" t="str">
        <x:v>Bridger</x:v>
      </x:c>
      <x:c r="I16" s="6" t="n">
        <x:v>0</x:v>
      </x:c>
      <x:c r="J16" s="6" t="n">
        <x:v>3</x:v>
      </x:c>
      <x:c r="K16" s="6" t="n">
        <x:v>3</x:v>
      </x:c>
      <x:c r="L16" s="6" t="str">
        <x:v>Yes</x:v>
      </x:c>
      <x:c r="M16" s="6" t="str">
        <x:v>Yes</x:v>
      </x:c>
      <x:c r="N16" s="6" t="str">
        <x:f>IF(AND(L16="Yes",M16="Yes"),"Yes","No")</x:f>
        <x:v>Yes</x:v>
      </x:c>
      <x:c r="O16" s="6" t="str">
        <x:v>V-JEPA; V-JEPA 2</x:v>
      </x:c>
      <x:c r="P16" s="6" t="str">
        <x:v>V-JEPA 2-AC</x:v>
      </x:c>
      <x:c r="Q16" s="6" t="str">
        <x:v>High</x:v>
      </x:c>
      <x:c r="R16" s="6" t="str">
        <x:v>Key example of latent prediction, not pixel generation</x:v>
      </x:c>
      <x:c r="S16" s="6" t="str">
        <x:v>https://arxiv.org/abs/2506.09985</x:v>
      </x:c>
      <x:c r="T16" s="6" t="str">
        <x:v>https://arxiv.org/abs/2506.09985</x:v>
      </x:c>
      <x:c r="U16" s="6" t="str">
        <x:v>https://arxiv.org/abs/2506.09985</x:v>
      </x:c>
      <x:c r="V16" s="6" t="str">
        <x:v>P003</x:v>
      </x:c>
      <x:c r="W16" s="6" t="n">
        <x:v>11</x:v>
      </x:c>
      <x:c r="X16" s="6" t="str">
        <x:v>P004</x:v>
      </x:c>
      <x:c r="Y16" s="6" t="n">
        <x:v>5</x:v>
      </x:c>
      <x:c r="Z16" s="15" t="n">
        <x:f>IF(AND(N16="Yes",AA16="Both distinct selected papers covered"),SQRT((W16+1)*(Y16+1))*IF(Q16="High",1,0.8),"")</x:f>
        <x:v>8.48528137423857</x:v>
      </x:c>
      <x:c r="AA16" s="6" t="str">
        <x:v>Both distinct selected papers covered</x:v>
      </x:c>
      <x:c r="AB16" s="6" t="str">
        <x:v>2026-09-02</x:v>
      </x:c>
      <x:c r="AC16" s="6" t="str">
        <x:v>U3</x:v>
      </x:c>
      <x:c r="AD16" s="6" t="str">
        <x:v>Representation/reward/value</x:v>
      </x:c>
      <x:c r="AE16" s="6" t="str">
        <x:v>Verified distinct paper pair</x:v>
      </x:c>
    </x:row>
    <x:row r="17">
      <x:c r="A17" s="6" t="n">
        <x:f>IF(Z17="","",1+COUNTIF($Z$2:$Z$53,"&gt;"&amp;Z17))</x:f>
        <x:v>14</x:v>
      </x:c>
      <x:c r="B17" s="6" t="str">
        <x:v>R014</x:v>
      </x:c>
      <x:c r="C17" s="6" t="str">
        <x:v>Nicolas Ballas</x:v>
      </x:c>
      <x:c r="D17" s="6" t="str">
        <x:v>Europe</x:v>
      </x:c>
      <x:c r="E17" s="6" t="str">
        <x:v>Meta FAIR Paris</x:v>
      </x:c>
      <x:c r="F17" s="6" t="str">
        <x:v>U3</x:v>
      </x:c>
      <x:c r="G17" s="6" t="str">
        <x:v>Planning</x:v>
      </x:c>
      <x:c r="H17" s="6" t="str">
        <x:v>Bridger</x:v>
      </x:c>
      <x:c r="I17" s="6" t="n">
        <x:v>0</x:v>
      </x:c>
      <x:c r="J17" s="6" t="n">
        <x:v>3</x:v>
      </x:c>
      <x:c r="K17" s="6" t="n">
        <x:v>3</x:v>
      </x:c>
      <x:c r="L17" s="6" t="str">
        <x:v>Yes</x:v>
      </x:c>
      <x:c r="M17" s="6" t="str">
        <x:v>Yes</x:v>
      </x:c>
      <x:c r="N17" s="6" t="str">
        <x:f>IF(AND(L17="Yes",M17="Yes"),"Yes","No")</x:f>
        <x:v>Yes</x:v>
      </x:c>
      <x:c r="O17" s="6" t="str">
        <x:v>V-JEPA; V-JEPA 2</x:v>
      </x:c>
      <x:c r="P17" s="6" t="str">
        <x:v>V-JEPA 2-AC</x:v>
      </x:c>
      <x:c r="Q17" s="6" t="str">
        <x:v>High</x:v>
      </x:c>
      <x:c r="R17" s="6" t="str">
        <x:v>Senior/core V-JEPA contributor</x:v>
      </x:c>
      <x:c r="S17" s="6" t="str">
        <x:v>https://arxiv.org/abs/2506.09985</x:v>
      </x:c>
      <x:c r="T17" s="6" t="str">
        <x:v>https://arxiv.org/abs/2506.09985</x:v>
      </x:c>
      <x:c r="U17" s="6" t="str">
        <x:v>https://arxiv.org/abs/2506.09985</x:v>
      </x:c>
      <x:c r="V17" s="6" t="str">
        <x:v>P003</x:v>
      </x:c>
      <x:c r="W17" s="6" t="n">
        <x:v>11</x:v>
      </x:c>
      <x:c r="X17" s="6" t="str">
        <x:v>P004</x:v>
      </x:c>
      <x:c r="Y17" s="6" t="n">
        <x:v>5</x:v>
      </x:c>
      <x:c r="Z17" s="15" t="n">
        <x:f>IF(AND(N17="Yes",AA17="Both distinct selected papers covered"),SQRT((W17+1)*(Y17+1))*IF(Q17="High",1,0.8),"")</x:f>
        <x:v>8.48528137423857</x:v>
      </x:c>
      <x:c r="AA17" s="6" t="str">
        <x:v>Both distinct selected papers covered</x:v>
      </x:c>
      <x:c r="AB17" s="6" t="str">
        <x:v>2026-09-02</x:v>
      </x:c>
      <x:c r="AC17" s="6" t="str">
        <x:v>U3</x:v>
      </x:c>
      <x:c r="AD17" s="6" t="str">
        <x:v>Representation/reward/value</x:v>
      </x:c>
      <x:c r="AE17" s="6" t="str">
        <x:v>Verified distinct paper pair</x:v>
      </x:c>
    </x:row>
    <x:row r="18">
      <x:c r="A18" s="6" t="n">
        <x:f>IF(Z18="","",1+COUNTIF($Z$2:$Z$53,"&gt;"&amp;Z18))</x:f>
        <x:v>14</x:v>
      </x:c>
      <x:c r="B18" s="6" t="str">
        <x:v>R013</x:v>
      </x:c>
      <x:c r="C18" s="6" t="str">
        <x:v>Quentin Garrido</x:v>
      </x:c>
      <x:c r="D18" s="6" t="str">
        <x:v>Europe</x:v>
      </x:c>
      <x:c r="E18" s="6" t="str">
        <x:v>Meta FAIR Paris</x:v>
      </x:c>
      <x:c r="F18" s="6" t="str">
        <x:v>U3</x:v>
      </x:c>
      <x:c r="G18" s="6" t="str">
        <x:v>Planning</x:v>
      </x:c>
      <x:c r="H18" s="6" t="str">
        <x:v>Bridger</x:v>
      </x:c>
      <x:c r="I18" s="6" t="n">
        <x:v>0</x:v>
      </x:c>
      <x:c r="J18" s="6" t="n">
        <x:v>3</x:v>
      </x:c>
      <x:c r="K18" s="6" t="n">
        <x:v>3</x:v>
      </x:c>
      <x:c r="L18" s="6" t="str">
        <x:v>Yes</x:v>
      </x:c>
      <x:c r="M18" s="6" t="str">
        <x:v>Yes</x:v>
      </x:c>
      <x:c r="N18" s="6" t="str">
        <x:f>IF(AND(L18="Yes",M18="Yes"),"Yes","No")</x:f>
        <x:v>Yes</x:v>
      </x:c>
      <x:c r="O18" s="6" t="str">
        <x:v>V-JEPA; V-JEPA 2</x:v>
      </x:c>
      <x:c r="P18" s="6" t="str">
        <x:v>V-JEPA 2-AC</x:v>
      </x:c>
      <x:c r="Q18" s="6" t="str">
        <x:v>High</x:v>
      </x:c>
      <x:c r="R18" s="6" t="str">
        <x:v>Core latent-predictive bridge</x:v>
      </x:c>
      <x:c r="S18" s="6" t="str">
        <x:v>https://arxiv.org/abs/2506.09985</x:v>
      </x:c>
      <x:c r="T18" s="6" t="str">
        <x:v>https://arxiv.org/abs/2506.09985</x:v>
      </x:c>
      <x:c r="U18" s="6" t="str">
        <x:v>https://arxiv.org/abs/2506.09985</x:v>
      </x:c>
      <x:c r="V18" s="6" t="str">
        <x:v>P003</x:v>
      </x:c>
      <x:c r="W18" s="6" t="n">
        <x:v>11</x:v>
      </x:c>
      <x:c r="X18" s="6" t="str">
        <x:v>P004</x:v>
      </x:c>
      <x:c r="Y18" s="6" t="n">
        <x:v>5</x:v>
      </x:c>
      <x:c r="Z18" s="15" t="n">
        <x:f>IF(AND(N18="Yes",AA18="Both distinct selected papers covered"),SQRT((W18+1)*(Y18+1))*IF(Q18="High",1,0.8),"")</x:f>
        <x:v>8.48528137423857</x:v>
      </x:c>
      <x:c r="AA18" s="6" t="str">
        <x:v>Both distinct selected papers covered</x:v>
      </x:c>
      <x:c r="AB18" s="6" t="str">
        <x:v>2026-09-02</x:v>
      </x:c>
      <x:c r="AC18" s="6" t="str">
        <x:v>U3</x:v>
      </x:c>
      <x:c r="AD18" s="6" t="str">
        <x:v>Representation/reward/value</x:v>
      </x:c>
      <x:c r="AE18" s="6" t="str">
        <x:v>Verified distinct paper pair</x:v>
      </x:c>
    </x:row>
    <x:row r="19">
      <x:c r="A19" s="6" t="n">
        <x:f>IF(Z19="","",1+COUNTIF($Z$2:$Z$53,"&gt;"&amp;Z19))</x:f>
        <x:v>14</x:v>
      </x:c>
      <x:c r="B19" s="6" t="str">
        <x:v>R017</x:v>
      </x:c>
      <x:c r="C19" s="6" t="str">
        <x:v>Yann LeCun</x:v>
      </x:c>
      <x:c r="D19" s="6" t="str">
        <x:v>Mixed</x:v>
      </x:c>
      <x:c r="E19" s="6" t="str">
        <x:v>Meta / NYU / FAIR Paris</x:v>
      </x:c>
      <x:c r="F19" s="6" t="str">
        <x:v>U3</x:v>
      </x:c>
      <x:c r="G19" s="6" t="str">
        <x:v>Planning</x:v>
      </x:c>
      <x:c r="H19" s="6" t="str">
        <x:v>Bridger</x:v>
      </x:c>
      <x:c r="I19" s="6" t="n">
        <x:v>0</x:v>
      </x:c>
      <x:c r="J19" s="6" t="n">
        <x:v>3</x:v>
      </x:c>
      <x:c r="K19" s="6" t="n">
        <x:v>2</x:v>
      </x:c>
      <x:c r="L19" s="6" t="str">
        <x:v>Yes</x:v>
      </x:c>
      <x:c r="M19" s="6" t="str">
        <x:v>Yes</x:v>
      </x:c>
      <x:c r="N19" s="6" t="str">
        <x:f>IF(AND(L19="Yes",M19="Yes"),"Yes","No")</x:f>
        <x:v>Yes</x:v>
      </x:c>
      <x:c r="O19" s="6" t="str">
        <x:v>I-JEPA; V-JEPA</x:v>
      </x:c>
      <x:c r="P19" s="6" t="str">
        <x:v>V-JEPA 2</x:v>
      </x:c>
      <x:c r="Q19" s="6" t="str">
        <x:v>High</x:v>
      </x:c>
      <x:c r="R19" s="6" t="str">
        <x:v>Architecturally important latent-world-model lineage</x:v>
      </x:c>
      <x:c r="S19" s="6" t="str">
        <x:v>https://ai.meta.com/people/yann-lecun/</x:v>
      </x:c>
      <x:c r="T19" s="6" t="str">
        <x:v>https://arxiv.org/abs/2404.08471</x:v>
      </x:c>
      <x:c r="U19" s="6" t="str">
        <x:v>https://arxiv.org/abs/2506.09985</x:v>
      </x:c>
      <x:c r="V19" s="6" t="str">
        <x:v>P003</x:v>
      </x:c>
      <x:c r="W19" s="6" t="n">
        <x:v>11</x:v>
      </x:c>
      <x:c r="X19" s="6" t="str">
        <x:v>P004</x:v>
      </x:c>
      <x:c r="Y19" s="6" t="n">
        <x:v>5</x:v>
      </x:c>
      <x:c r="Z19" s="15" t="n">
        <x:f>IF(AND(N19="Yes",AA19="Both distinct selected papers covered"),SQRT((W19+1)*(Y19+1))*IF(Q19="High",1,0.8),"")</x:f>
        <x:v>8.48528137423857</x:v>
      </x:c>
      <x:c r="AA19" s="6" t="str">
        <x:v>Both distinct selected papers covered</x:v>
      </x:c>
      <x:c r="AB19" s="6" t="str">
        <x:v>2026-09-02</x:v>
      </x:c>
      <x:c r="AC19" s="6" t="str">
        <x:v>U3</x:v>
      </x:c>
      <x:c r="AD19" s="6" t="str">
        <x:v>Representation/reward/value</x:v>
      </x:c>
      <x:c r="AE19" s="6" t="str">
        <x:v>Verified distinct paper pair</x:v>
      </x:c>
    </x:row>
    <x:row r="20">
      <x:c r="A20" s="6" t="n">
        <x:f>IF(Z20="","",1+COUNTIF($Z$2:$Z$53,"&gt;"&amp;Z20))</x:f>
        <x:v>19</x:v>
      </x:c>
      <x:c r="B20" s="6" t="str">
        <x:v>R020</x:v>
      </x:c>
      <x:c r="C20" s="6" t="str">
        <x:v>Jinwei Gu</x:v>
      </x:c>
      <x:c r="D20" s="6" t="str">
        <x:v>US</x:v>
      </x:c>
      <x:c r="E20" s="6" t="str">
        <x:v>NVIDIA / Stanford</x:v>
      </x:c>
      <x:c r="F20" s="6" t="str">
        <x:v>G2</x:v>
      </x:c>
      <x:c r="G20" s="6" t="str">
        <x:v>Direct policy</x:v>
      </x:c>
      <x:c r="H20" s="6" t="str">
        <x:v>Bridger</x:v>
      </x:c>
      <x:c r="I20" s="6" t="n">
        <x:v>3</x:v>
      </x:c>
      <x:c r="J20" s="6" t="n">
        <x:v>1</x:v>
      </x:c>
      <x:c r="K20" s="6" t="n">
        <x:v>3</x:v>
      </x:c>
      <x:c r="L20" s="6" t="str">
        <x:v>Yes</x:v>
      </x:c>
      <x:c r="M20" s="6" t="str">
        <x:v>Yes</x:v>
      </x:c>
      <x:c r="N20" s="6" t="str">
        <x:f>IF(AND(L20="Yes",M20="Yes"),"Yes","No")</x:f>
        <x:v>Yes</x:v>
      </x:c>
      <x:c r="O20" s="6" t="str">
        <x:v>Cosmos-Predict</x:v>
      </x:c>
      <x:c r="P20" s="6" t="str">
        <x:v>Cosmos Policy</x:v>
      </x:c>
      <x:c r="Q20" s="6" t="str">
        <x:v>High</x:v>
      </x:c>
      <x:c r="R20" s="6" t="str">
        <x:v>Video diffusion model post-trained directly into robot policy</x:v>
      </x:c>
      <x:c r="S20" s="6" t="str">
        <x:v>https://www.gujinwei.org/</x:v>
      </x:c>
      <x:c r="T20" s="6" t="str">
        <x:v>https://arxiv.org/abs/2501.03575</x:v>
      </x:c>
      <x:c r="U20" s="6" t="str">
        <x:v>https://arxiv.org/abs/2601.16163</x:v>
      </x:c>
      <x:c r="V20" s="6" t="str">
        <x:v>P016</x:v>
      </x:c>
      <x:c r="W20" s="6" t="n">
        <x:v>10</x:v>
      </x:c>
      <x:c r="X20" s="6" t="str">
        <x:v>P017</x:v>
      </x:c>
      <x:c r="Y20" s="6" t="n">
        <x:v>0</x:v>
      </x:c>
      <x:c r="Z20" s="15" t="n">
        <x:f>IF(AND(N20="Yes",AA20="Both distinct selected papers covered"),SQRT((W20+1)*(Y20+1))*IF(Q20="High",1,0.8),"")</x:f>
        <x:v>3.3166247903554</x:v>
      </x:c>
      <x:c r="AA20" s="6" t="str">
        <x:v>Both distinct selected papers covered</x:v>
      </x:c>
      <x:c r="AB20" s="6" t="str">
        <x:v>2026-09-02</x:v>
      </x:c>
      <x:c r="AC20" s="6" t="str">
        <x:v>G2</x:v>
      </x:c>
      <x:c r="AD20" s="6" t="str">
        <x:v>Joint visual/state + action</x:v>
      </x:c>
      <x:c r="AE20" s="6" t="str">
        <x:v>Verified distinct paper pair</x:v>
      </x:c>
    </x:row>
    <x:row r="21">
      <x:c r="A21" s="6" t="n">
        <x:f>IF(Z21="","",1+COUNTIF($Z$2:$Z$53,"&gt;"&amp;Z21))</x:f>
        <x:v>19</x:v>
      </x:c>
      <x:c r="B21" s="6" t="str">
        <x:v>R018</x:v>
      </x:c>
      <x:c r="C21" s="6" t="str">
        <x:v>Ming-Yu Liu</x:v>
      </x:c>
      <x:c r="D21" s="6" t="str">
        <x:v>US</x:v>
      </x:c>
      <x:c r="E21" s="6" t="str">
        <x:v>NVIDIA</x:v>
      </x:c>
      <x:c r="F21" s="6" t="str">
        <x:v>G2</x:v>
      </x:c>
      <x:c r="G21" s="6" t="str">
        <x:v>World simulation</x:v>
      </x:c>
      <x:c r="H21" s="6" t="str">
        <x:v>Bridger</x:v>
      </x:c>
      <x:c r="I21" s="6" t="n">
        <x:v>3</x:v>
      </x:c>
      <x:c r="J21" s="6" t="n">
        <x:v>2</x:v>
      </x:c>
      <x:c r="K21" s="6" t="n">
        <x:v>3</x:v>
      </x:c>
      <x:c r="L21" s="6" t="str">
        <x:v>Yes</x:v>
      </x:c>
      <x:c r="M21" s="6" t="str">
        <x:v>Yes</x:v>
      </x:c>
      <x:c r="N21" s="6" t="str">
        <x:f>IF(AND(L21="Yes",M21="Yes"),"Yes","No")</x:f>
        <x:v>Yes</x:v>
      </x:c>
      <x:c r="O21" s="6" t="str">
        <x:v>Video synthesis / GAN lineage</x:v>
      </x:c>
      <x:c r="P21" s="6" t="str">
        <x:v>Cosmos world foundation models</x:v>
      </x:c>
      <x:c r="Q21" s="6" t="str">
        <x:v>High</x:v>
      </x:c>
      <x:c r="R21" s="6" t="str">
        <x:v>Generation architecture transferred to physical-AI simulation</x:v>
      </x:c>
      <x:c r="S21" s="6" t="str">
        <x:v>https://mingyuliutw.github.io/</x:v>
      </x:c>
      <x:c r="T21" s="6" t="str">
        <x:v>https://arxiv.org/abs/1808.06601</x:v>
      </x:c>
      <x:c r="U21" s="6" t="str">
        <x:v>https://arxiv.org/abs/2601.03782</x:v>
      </x:c>
      <x:c r="V21" s="6" t="str">
        <x:v>P016</x:v>
      </x:c>
      <x:c r="W21" s="6" t="n">
        <x:v>10</x:v>
      </x:c>
      <x:c r="X21" s="6" t="str">
        <x:v>P038</x:v>
      </x:c>
      <x:c r="Y21" s="6" t="n">
        <x:v>0</x:v>
      </x:c>
      <x:c r="Z21" s="15" t="n">
        <x:f>IF(AND(N21="Yes",AA21="Both distinct selected papers covered"),SQRT((W21+1)*(Y21+1))*IF(Q21="High",1,0.8),"")</x:f>
        <x:v>3.3166247903554</x:v>
      </x:c>
      <x:c r="AA21" s="6" t="str">
        <x:v>Both distinct selected papers covered</x:v>
      </x:c>
      <x:c r="AB21" s="6" t="str">
        <x:v>2026-09-02</x:v>
      </x:c>
      <x:c r="AC21" s="6" t="str">
        <x:v>G2</x:v>
      </x:c>
      <x:c r="AD21" s="6" t="str">
        <x:v>Predicted future video/state</x:v>
      </x:c>
      <x:c r="AE21" s="6" t="str">
        <x:v>Verified distinct paper pair</x:v>
      </x:c>
    </x:row>
    <x:row r="22">
      <x:c r="A22" s="6" t="str">
        <x:f>IF(Z22="","",1+COUNTIF($Z$2:$Z$53,"&gt;"&amp;Z22))</x:f>
      </x:c>
      <x:c r="B22" s="6" t="str">
        <x:v>R048</x:v>
      </x:c>
      <x:c r="C22" s="6" t="str">
        <x:v>Andrea Vedaldi</x:v>
      </x:c>
      <x:c r="D22" s="6" t="str">
        <x:v>Europe</x:v>
      </x:c>
      <x:c r="E22" s="6" t="str">
        <x:v>University of Oxford</x:v>
      </x:c>
      <x:c r="F22" s="6" t="str">
        <x:v>U2</x:v>
      </x:c>
      <x:c r="G22" s="6" t="str">
        <x:v>Perception backbone</x:v>
      </x:c>
      <x:c r="H22" s="6" t="str">
        <x:v>Bridger</x:v>
      </x:c>
      <x:c r="I22" s="6" t="n">
        <x:v>1</x:v>
      </x:c>
      <x:c r="J22" s="6" t="n">
        <x:v>3</x:v>
      </x:c>
      <x:c r="K22" s="6" t="n">
        <x:v>1</x:v>
      </x:c>
      <x:c r="L22" s="6" t="str">
        <x:v>Yes</x:v>
      </x:c>
      <x:c r="M22" s="6" t="str">
        <x:v>Emerging</x:v>
      </x:c>
      <x:c r="N22" s="6" t="str">
        <x:f>IF(AND(L22="Yes",M22="Yes"),"Yes","No")</x:f>
        <x:v>No</x:v>
      </x:c>
      <x:c r="O22" s="6" t="str">
        <x:v>CoTracker / video representation</x:v>
      </x:c>
      <x:c r="P22" s="6" t="str">
        <x:v>Robotics-adjacent dynamic representation</x:v>
      </x:c>
      <x:c r="Q22" s="6" t="str">
        <x:v>Medium</x:v>
      </x:c>
      <x:c r="R22" s="6" t="str">
        <x:v>Strong video representation work; direct authorship on selected robot world-model papers not verified</x:v>
      </x:c>
      <x:c r="S22" s="6" t="str">
        <x:v>https://www.robots.ox.ac.uk/~vedaldi/</x:v>
      </x:c>
      <x:c r="T22" s="6" t="str">
        <x:v>https://arxiv.org/abs/2307.07635</x:v>
      </x:c>
      <x:c r="U22" s="6" t="str">
        <x:v>https://arxiv.org/abs/2307.07635</x:v>
      </x:c>
      <x:c r="V22" s="6" t="str">
        <x:v>P033</x:v>
      </x:c>
      <x:c r="W22" s="6" t="n">
        <x:v>166</x:v>
      </x:c>
      <x:c r="X22" s="6"/>
      <x:c r="Y22" s="6"/>
      <x:c r="Z22" s="15" t="str">
        <x:f>IF(AND(N22="Yes",AA22="Both distinct selected papers covered"),SQRT((W22+1)*(Y22+1))*IF(Q22="High",1,0.8),"")</x:f>
      </x:c>
      <x:c r="AA22" s="6" t="str">
        <x:v>Partial / missing selected-paper coverage</x:v>
      </x:c>
      <x:c r="AB22" s="6" t="str">
        <x:v>2026-09-02</x:v>
      </x:c>
      <x:c r="AC22" s="6" t="str">
        <x:v>U2</x:v>
      </x:c>
      <x:c r="AD22" s="6"/>
      <x:c r="AE22" s="6" t="str">
        <x:v>Partial evidence</x:v>
      </x:c>
    </x:row>
    <x:row r="23">
      <x:c r="A23" s="6" t="str">
        <x:f>IF(Z23="","",1+COUNTIF($Z$2:$Z$53,"&gt;"&amp;Z23))</x:f>
      </x:c>
      <x:c r="B23" s="6" t="str">
        <x:v>R006</x:v>
      </x:c>
      <x:c r="C23" s="6" t="str">
        <x:v>Carl Doersch</x:v>
      </x:c>
      <x:c r="D23" s="6" t="str">
        <x:v>Europe</x:v>
      </x:c>
      <x:c r="E23" s="6" t="str">
        <x:v>Google DeepMind London</x:v>
      </x:c>
      <x:c r="F23" s="6" t="str">
        <x:v>U2</x:v>
      </x:c>
      <x:c r="G23" s="6" t="str">
        <x:v>Direct policy</x:v>
      </x:c>
      <x:c r="H23" s="6" t="str">
        <x:v>Bridger</x:v>
      </x:c>
      <x:c r="I23" s="6" t="n">
        <x:v>1</x:v>
      </x:c>
      <x:c r="J23" s="6" t="n">
        <x:v>3</x:v>
      </x:c>
      <x:c r="K23" s="6" t="n">
        <x:v>2</x:v>
      </x:c>
      <x:c r="L23" s="6" t="str">
        <x:v>Yes</x:v>
      </x:c>
      <x:c r="M23" s="6" t="str">
        <x:v>Emerging</x:v>
      </x:c>
      <x:c r="N23" s="6" t="str">
        <x:f>IF(AND(L23="Yes",M23="Yes"),"Yes","No")</x:f>
        <x:v>No</x:v>
      </x:c>
      <x:c r="O23" s="6" t="str">
        <x:v>TAP-Vid</x:v>
      </x:c>
      <x:c r="P23" s="6" t="str">
        <x:v>Gen2Act</x:v>
      </x:c>
      <x:c r="Q23" s="6" t="str">
        <x:v>Medium</x:v>
      </x:c>
      <x:c r="R23" s="6" t="str">
        <x:v>Tracking and correspondence transfer into embodied systems</x:v>
      </x:c>
      <x:c r="S23" s="6" t="str">
        <x:v>https://www.carldoersch.com/</x:v>
      </x:c>
      <x:c r="T23" s="6" t="str">
        <x:v>https://arxiv.org/abs/2211.03726</x:v>
      </x:c>
      <x:c r="U23" s="6" t="str">
        <x:v>https://arxiv.org/abs/2409.16283</x:v>
      </x:c>
      <x:c r="V23" s="6" t="str">
        <x:v>P006</x:v>
      </x:c>
      <x:c r="W23" s="6" t="n">
        <x:v>26</x:v>
      </x:c>
      <x:c r="X23" s="6" t="str">
        <x:v>P014</x:v>
      </x:c>
      <x:c r="Y23" s="6" t="n">
        <x:v>1</x:v>
      </x:c>
      <x:c r="Z23" s="15" t="str">
        <x:f>IF(AND(N23="Yes",AA23="Both distinct selected papers covered"),SQRT((W23+1)*(Y23+1))*IF(Q23="High",1,0.8),"")</x:f>
      </x:c>
      <x:c r="AA23" s="6" t="str">
        <x:v>Both distinct selected papers covered</x:v>
      </x:c>
      <x:c r="AB23" s="6" t="str">
        <x:v>2026-09-02</x:v>
      </x:c>
      <x:c r="AC23" s="6" t="str">
        <x:v>U2</x:v>
      </x:c>
      <x:c r="AD23" s="6" t="str">
        <x:v>Generated image/video</x:v>
      </x:c>
      <x:c r="AE23" s="6" t="str">
        <x:v>Verified distinct paper pair</x:v>
      </x:c>
    </x:row>
    <x:row r="24">
      <x:c r="A24" s="6" t="str">
        <x:f>IF(Z24="","",1+COUNTIF($Z$2:$Z$53,"&gt;"&amp;Z24))</x:f>
      </x:c>
      <x:c r="B24" s="6" t="str">
        <x:v>R047</x:v>
      </x:c>
      <x:c r="C24" s="6" t="str">
        <x:v>Christian Rupprecht</x:v>
      </x:c>
      <x:c r="D24" s="6" t="str">
        <x:v>Europe</x:v>
      </x:c>
      <x:c r="E24" s="6" t="str">
        <x:v>University of Oxford</x:v>
      </x:c>
      <x:c r="F24" s="6" t="str">
        <x:v>U2</x:v>
      </x:c>
      <x:c r="G24" s="6" t="str">
        <x:v>Perception backbone</x:v>
      </x:c>
      <x:c r="H24" s="6" t="str">
        <x:v>Bridger</x:v>
      </x:c>
      <x:c r="I24" s="6" t="n">
        <x:v>1</x:v>
      </x:c>
      <x:c r="J24" s="6" t="n">
        <x:v>3</x:v>
      </x:c>
      <x:c r="K24" s="6" t="n">
        <x:v>1</x:v>
      </x:c>
      <x:c r="L24" s="6" t="str">
        <x:v>Yes</x:v>
      </x:c>
      <x:c r="M24" s="6" t="str">
        <x:v>Emerging</x:v>
      </x:c>
      <x:c r="N24" s="6" t="str">
        <x:f>IF(AND(L24="Yes",M24="Yes"),"Yes","No")</x:f>
        <x:v>No</x:v>
      </x:c>
      <x:c r="O24" s="6" t="str">
        <x:v>CoTracker / video motion</x:v>
      </x:c>
      <x:c r="P24" s="6" t="str">
        <x:v>Robotics-adjacent dynamic representation</x:v>
      </x:c>
      <x:c r="Q24" s="6" t="str">
        <x:v>Medium</x:v>
      </x:c>
      <x:c r="R24" s="6" t="str">
        <x:v>Strong video motion work; direct authorship on selected robot world-model papers not verified</x:v>
      </x:c>
      <x:c r="S24" s="6" t="str">
        <x:v>https://chrirupp.github.io/</x:v>
      </x:c>
      <x:c r="T24" s="6" t="str">
        <x:v>https://arxiv.org/abs/2307.07635</x:v>
      </x:c>
      <x:c r="U24" s="6" t="str">
        <x:v>https://arxiv.org/abs/2307.07635</x:v>
      </x:c>
      <x:c r="V24" s="6" t="str">
        <x:v>P033</x:v>
      </x:c>
      <x:c r="W24" s="6" t="n">
        <x:v>166</x:v>
      </x:c>
      <x:c r="X24" s="6"/>
      <x:c r="Y24" s="6"/>
      <x:c r="Z24" s="15" t="str">
        <x:f>IF(AND(N24="Yes",AA24="Both distinct selected papers covered"),SQRT((W24+1)*(Y24+1))*IF(Q24="High",1,0.8),"")</x:f>
      </x:c>
      <x:c r="AA24" s="6" t="str">
        <x:v>Partial / missing selected-paper coverage</x:v>
      </x:c>
      <x:c r="AB24" s="6" t="str">
        <x:v>2026-09-02</x:v>
      </x:c>
      <x:c r="AC24" s="6" t="str">
        <x:v>U2</x:v>
      </x:c>
      <x:c r="AD24" s="6"/>
      <x:c r="AE24" s="6" t="str">
        <x:v>Partial evidence</x:v>
      </x:c>
    </x:row>
    <x:row r="25">
      <x:c r="A25" s="6" t="str">
        <x:f>IF(Z25="","",1+COUNTIF($Z$2:$Z$53,"&gt;"&amp;Z25))</x:f>
      </x:c>
      <x:c r="B25" s="6" t="str">
        <x:v>R012</x:v>
      </x:c>
      <x:c r="C25" s="6" t="str">
        <x:v>David Fan</x:v>
      </x:c>
      <x:c r="D25" s="6" t="str">
        <x:v>US</x:v>
      </x:c>
      <x:c r="E25" s="6" t="str">
        <x:v>Meta FAIR</x:v>
      </x:c>
      <x:c r="F25" s="6" t="str">
        <x:v>U3</x:v>
      </x:c>
      <x:c r="G25" s="6" t="str">
        <x:v>Planning</x:v>
      </x:c>
      <x:c r="H25" s="6" t="str">
        <x:v>Bridger</x:v>
      </x:c>
      <x:c r="I25" s="6" t="n">
        <x:v>0</x:v>
      </x:c>
      <x:c r="J25" s="6" t="n">
        <x:v>3</x:v>
      </x:c>
      <x:c r="K25" s="6" t="n">
        <x:v>3</x:v>
      </x:c>
      <x:c r="L25" s="6" t="str">
        <x:v>Yes</x:v>
      </x:c>
      <x:c r="M25" s="6" t="str">
        <x:v>Yes</x:v>
      </x:c>
      <x:c r="N25" s="6" t="str">
        <x:f>IF(AND(L25="Yes",M25="Yes"),"Yes","No")</x:f>
        <x:v>Yes</x:v>
      </x:c>
      <x:c r="O25" s="6" t="str">
        <x:v>V-JEPA 2</x:v>
      </x:c>
      <x:c r="P25" s="6" t="str">
        <x:v>V-JEPA 2-AC</x:v>
      </x:c>
      <x:c r="Q25" s="6" t="str">
        <x:v>High</x:v>
      </x:c>
      <x:c r="R25" s="6" t="str">
        <x:v>Robot planning via action-conditioned latent world model</x:v>
      </x:c>
      <x:c r="S25" s="6" t="str">
        <x:v>https://arxiv.org/abs/2506.09985</x:v>
      </x:c>
      <x:c r="T25" s="6" t="str">
        <x:v>https://arxiv.org/abs/2506.09985</x:v>
      </x:c>
      <x:c r="U25" s="6" t="str">
        <x:v>https://arxiv.org/abs/2506.09985</x:v>
      </x:c>
      <x:c r="V25" s="6" t="str">
        <x:v>P004</x:v>
      </x:c>
      <x:c r="W25" s="6" t="n">
        <x:v>5</x:v>
      </x:c>
      <x:c r="X25" s="6" t="str">
        <x:v>P004</x:v>
      </x:c>
      <x:c r="Y25" s="6" t="n">
        <x:v>5</x:v>
      </x:c>
      <x:c r="Z25" s="15" t="str">
        <x:f>IF(AND(N25="Yes",AA25="Both distinct selected papers covered"),SQRT((W25+1)*(Y25+1))*IF(Q25="High",1,0.8),"")</x:f>
      </x:c>
      <x:c r="AA25" s="6" t="str">
        <x:v>Single bridge paper used on both sides</x:v>
      </x:c>
      <x:c r="AB25" s="6" t="str">
        <x:v>2026-09-02</x:v>
      </x:c>
      <x:c r="AC25" s="6" t="str">
        <x:v>U3</x:v>
      </x:c>
      <x:c r="AD25" s="6" t="str">
        <x:v>Representation/reward/value</x:v>
      </x:c>
      <x:c r="AE25" s="6" t="str">
        <x:v>Verified single-paper bridge; not ranked</x:v>
      </x:c>
    </x:row>
    <x:row r="26">
      <x:c r="A26" s="6" t="str">
        <x:f>IF(Z26="","",1+COUNTIF($Z$2:$Z$53,"&gt;"&amp;Z26))</x:f>
      </x:c>
      <x:c r="B26" s="6" t="str">
        <x:v>R028</x:v>
      </x:c>
      <x:c r="C26" s="6" t="str">
        <x:v>Deepak Pathak</x:v>
      </x:c>
      <x:c r="D26" s="6" t="str">
        <x:v>US</x:v>
      </x:c>
      <x:c r="E26" s="6" t="str">
        <x:v>Carnegie Mellon</x:v>
      </x:c>
      <x:c r="F26" s="6" t="str">
        <x:v>U2</x:v>
      </x:c>
      <x:c r="G26" s="6" t="str">
        <x:v>Direct policy</x:v>
      </x:c>
      <x:c r="H26" s="6" t="str">
        <x:v>Native hybrid</x:v>
      </x:c>
      <x:c r="I26" s="6" t="n">
        <x:v>1</x:v>
      </x:c>
      <x:c r="J26" s="6" t="n">
        <x:v>3</x:v>
      </x:c>
      <x:c r="K26" s="6" t="n">
        <x:v>3</x:v>
      </x:c>
      <x:c r="L26" s="6" t="str">
        <x:v>Yes</x:v>
      </x:c>
      <x:c r="M26" s="6" t="str">
        <x:v>Yes</x:v>
      </x:c>
      <x:c r="N26" s="6" t="str">
        <x:f>IF(AND(L26="Yes",M26="Yes"),"Yes","No")</x:f>
        <x:v>Yes</x:v>
      </x:c>
      <x:c r="O26" s="6" t="str">
        <x:v>Self-supervised video/motion</x:v>
      </x:c>
      <x:c r="P26" s="6" t="str">
        <x:v>Curiosity-driven learning; robot learning</x:v>
      </x:c>
      <x:c r="Q26" s="6" t="str">
        <x:v>High</x:v>
      </x:c>
      <x:c r="R26" s="6" t="str">
        <x:v>Understanding/motion transfer, not generation-led</x:v>
      </x:c>
      <x:c r="S26" s="6" t="str">
        <x:v>https://www.cs.cmu.edu/~dpathak/</x:v>
      </x:c>
      <x:c r="T26" s="6" t="str">
        <x:v>https://arxiv.org/abs/1705.05363</x:v>
      </x:c>
      <x:c r="U26" s="6" t="str">
        <x:v>https://arxiv.org/abs/1705.05363</x:v>
      </x:c>
      <x:c r="V26" s="6" t="str">
        <x:v>P036</x:v>
      </x:c>
      <x:c r="W26" s="6" t="n">
        <x:v>83</x:v>
      </x:c>
      <x:c r="X26" s="6" t="str">
        <x:v>P036</x:v>
      </x:c>
      <x:c r="Y26" s="6" t="n">
        <x:v>83</x:v>
      </x:c>
      <x:c r="Z26" s="15" t="str">
        <x:f>IF(AND(N26="Yes",AA26="Both distinct selected papers covered"),SQRT((W26+1)*(Y26+1))*IF(Q26="High",1,0.8),"")</x:f>
      </x:c>
      <x:c r="AA26" s="6" t="str">
        <x:v>Single bridge paper used on both sides</x:v>
      </x:c>
      <x:c r="AB26" s="6" t="str">
        <x:v>2026-09-02</x:v>
      </x:c>
      <x:c r="AC26" s="6" t="str">
        <x:v>U2</x:v>
      </x:c>
      <x:c r="AD26" s="6" t="str">
        <x:v>Action trajectory/tokens</x:v>
      </x:c>
      <x:c r="AE26" s="6" t="str">
        <x:v>Verified single-paper bridge; not ranked</x:v>
      </x:c>
    </x:row>
    <x:row r="27">
      <x:c r="A27" s="6" t="str">
        <x:f>IF(Z27="","",1+COUNTIF($Z$2:$Z$53,"&gt;"&amp;Z27))</x:f>
      </x:c>
      <x:c r="B27" s="6" t="str">
        <x:v>R032</x:v>
      </x:c>
      <x:c r="C27" s="6" t="str">
        <x:v>Dinesh Jayaraman</x:v>
      </x:c>
      <x:c r="D27" s="6" t="str">
        <x:v>US</x:v>
      </x:c>
      <x:c r="E27" s="6" t="str">
        <x:v>University of Pennsylvania</x:v>
      </x:c>
      <x:c r="F27" s="6" t="str">
        <x:v>VL</x:v>
      </x:c>
      <x:c r="G27" s="6" t="str">
        <x:v>Reward / affordance</x:v>
      </x:c>
      <x:c r="H27" s="6" t="str">
        <x:v>Native hybrid</x:v>
      </x:c>
      <x:c r="I27" s="6" t="n">
        <x:v>1</x:v>
      </x:c>
      <x:c r="J27" s="6" t="n">
        <x:v>3</x:v>
      </x:c>
      <x:c r="K27" s="6" t="n">
        <x:v>3</x:v>
      </x:c>
      <x:c r="L27" s="6" t="str">
        <x:v>Yes</x:v>
      </x:c>
      <x:c r="M27" s="6" t="str">
        <x:v>Yes</x:v>
      </x:c>
      <x:c r="N27" s="6" t="str">
        <x:f>IF(AND(L27="Yes",M27="Yes"),"Yes","No")</x:f>
        <x:v>Yes</x:v>
      </x:c>
      <x:c r="O27" s="6" t="str">
        <x:v>LIV</x:v>
      </x:c>
      <x:c r="P27" s="6" t="str">
        <x:v>LIV</x:v>
      </x:c>
      <x:c r="Q27" s="6" t="str">
        <x:v>High</x:v>
      </x:c>
      <x:c r="R27" s="6" t="str">
        <x:v>Video dynamics as control representation</x:v>
      </x:c>
      <x:c r="S27" s="6" t="str">
        <x:v>https://www.seas.upenn.edu/~dineshj/</x:v>
      </x:c>
      <x:c r="T27" s="6" t="str">
        <x:v>https://arxiv.org/abs/2306.00958</x:v>
      </x:c>
      <x:c r="U27" s="6" t="str">
        <x:v>https://arxiv.org/abs/2306.00958</x:v>
      </x:c>
      <x:c r="V27" s="6" t="str">
        <x:v>P061</x:v>
      </x:c>
      <x:c r="W27" s="6" t="n">
        <x:v>24</x:v>
      </x:c>
      <x:c r="X27" s="6" t="str">
        <x:v>P061</x:v>
      </x:c>
      <x:c r="Y27" s="6" t="n">
        <x:v>24</x:v>
      </x:c>
      <x:c r="Z27" s="15" t="str">
        <x:f>IF(AND(N27="Yes",AA27="Both distinct selected papers covered"),SQRT((W27+1)*(Y27+1))*IF(Q27="High",1,0.8),"")</x:f>
      </x:c>
      <x:c r="AA27" s="6" t="str">
        <x:v>Single bridge paper used on both sides</x:v>
      </x:c>
      <x:c r="AB27" s="6" t="str">
        <x:v>2026-09-02</x:v>
      </x:c>
      <x:c r="AC27" s="6" t="str">
        <x:v>VL</x:v>
      </x:c>
      <x:c r="AD27" s="6" t="str">
        <x:v>Representation/reward/value</x:v>
      </x:c>
      <x:c r="AE27" s="6" t="str">
        <x:v>Verified single-paper bridge; not ranked</x:v>
      </x:c>
    </x:row>
    <x:row r="28">
      <x:c r="A28" s="6" t="str">
        <x:f>IF(Z28="","",1+COUNTIF($Z$2:$Z$53,"&gt;"&amp;Z28))</x:f>
      </x:c>
      <x:c r="B28" s="6" t="str">
        <x:v>R044</x:v>
      </x:c>
      <x:c r="C28" s="6" t="str">
        <x:v>Elliot Chane-Sane</x:v>
      </x:c>
      <x:c r="D28" s="6" t="str">
        <x:v>Europe</x:v>
      </x:c>
      <x:c r="E28" s="6" t="str">
        <x:v>Inria / ENS Paris</x:v>
      </x:c>
      <x:c r="F28" s="6" t="str">
        <x:v>U2</x:v>
      </x:c>
      <x:c r="G28" s="6" t="str">
        <x:v>Direct policy</x:v>
      </x:c>
      <x:c r="H28" s="6" t="str">
        <x:v>Bridger</x:v>
      </x:c>
      <x:c r="I28" s="6" t="n">
        <x:v>0</x:v>
      </x:c>
      <x:c r="J28" s="6" t="n">
        <x:v>2</x:v>
      </x:c>
      <x:c r="K28" s="6" t="n">
        <x:v>3</x:v>
      </x:c>
      <x:c r="L28" s="6" t="str">
        <x:v>Emerging</x:v>
      </x:c>
      <x:c r="M28" s="6" t="str">
        <x:v>Yes</x:v>
      </x:c>
      <x:c r="N28" s="6" t="str">
        <x:f>IF(AND(L28="Yes",M28="Yes"),"Yes","No")</x:f>
        <x:v>No</x:v>
      </x:c>
      <x:c r="O28" s="6" t="str">
        <x:v>Video-conditioned learning</x:v>
      </x:c>
      <x:c r="P28" s="6" t="str">
        <x:v>Learning video-conditioned policies for unseen manipulation tasks</x:v>
      </x:c>
      <x:c r="Q28" s="6" t="str">
        <x:v>High</x:v>
      </x:c>
      <x:c r="R28" s="6" t="str">
        <x:v>Direct European bridge paper</x:v>
      </x:c>
      <x:c r="S28" s="6" t="str">
        <x:v>https://arxiv.org/abs/2305.06289</x:v>
      </x:c>
      <x:c r="T28" s="6" t="str">
        <x:v>https://arxiv.org/abs/2305.06289</x:v>
      </x:c>
      <x:c r="U28" s="6" t="str">
        <x:v>https://arxiv.org/abs/2305.06289</x:v>
      </x:c>
      <x:c r="V28" s="6" t="str">
        <x:v>P023</x:v>
      </x:c>
      <x:c r="W28" s="6" t="n">
        <x:v>16</x:v>
      </x:c>
      <x:c r="X28" s="6" t="str">
        <x:v>P023</x:v>
      </x:c>
      <x:c r="Y28" s="6" t="n">
        <x:v>16</x:v>
      </x:c>
      <x:c r="Z28" s="15" t="str">
        <x:f>IF(AND(N28="Yes",AA28="Both distinct selected papers covered"),SQRT((W28+1)*(Y28+1))*IF(Q28="High",1,0.8),"")</x:f>
      </x:c>
      <x:c r="AA28" s="6" t="str">
        <x:v>Single bridge paper used on both sides</x:v>
      </x:c>
      <x:c r="AB28" s="6" t="str">
        <x:v>2026-09-02</x:v>
      </x:c>
      <x:c r="AC28" s="6" t="str">
        <x:v>U2</x:v>
      </x:c>
      <x:c r="AD28" s="6" t="str">
        <x:v>Action trajectory/tokens</x:v>
      </x:c>
      <x:c r="AE28" s="6" t="str">
        <x:v>Verified single-paper bridge; not ranked</x:v>
      </x:c>
    </x:row>
    <x:row r="29">
      <x:c r="A29" s="6" t="str">
        <x:f>IF(Z29="","",1+COUNTIF($Z$2:$Z$53,"&gt;"&amp;Z29))</x:f>
      </x:c>
      <x:c r="B29" s="6" t="str">
        <x:v>R015</x:v>
      </x:c>
      <x:c r="C29" s="6" t="str">
        <x:v>Franziska Meier</x:v>
      </x:c>
      <x:c r="D29" s="6" t="str">
        <x:v>US</x:v>
      </x:c>
      <x:c r="E29" s="6" t="str">
        <x:v>Meta FAIR</x:v>
      </x:c>
      <x:c r="F29" s="6" t="str">
        <x:v>U3</x:v>
      </x:c>
      <x:c r="G29" s="6" t="str">
        <x:v>Planning</x:v>
      </x:c>
      <x:c r="H29" s="6" t="str">
        <x:v>Bridger</x:v>
      </x:c>
      <x:c r="I29" s="6" t="n">
        <x:v>0</x:v>
      </x:c>
      <x:c r="J29" s="6" t="n">
        <x:v>3</x:v>
      </x:c>
      <x:c r="K29" s="6" t="n">
        <x:v>3</x:v>
      </x:c>
      <x:c r="L29" s="6" t="str">
        <x:v>Yes</x:v>
      </x:c>
      <x:c r="M29" s="6" t="str">
        <x:v>Yes</x:v>
      </x:c>
      <x:c r="N29" s="6" t="str">
        <x:f>IF(AND(L29="Yes",M29="Yes"),"Yes","No")</x:f>
        <x:v>Yes</x:v>
      </x:c>
      <x:c r="O29" s="6" t="str">
        <x:v>V-JEPA 2</x:v>
      </x:c>
      <x:c r="P29" s="6" t="str">
        <x:v>V-JEPA 2-AC</x:v>
      </x:c>
      <x:c r="Q29" s="6" t="str">
        <x:v>High</x:v>
      </x:c>
      <x:c r="R29" s="6" t="str">
        <x:v>Explicit robotics and video-model bridge</x:v>
      </x:c>
      <x:c r="S29" s="6" t="str">
        <x:v>https://arxiv.org/abs/2506.09985</x:v>
      </x:c>
      <x:c r="T29" s="6" t="str">
        <x:v>https://arxiv.org/abs/2506.09985</x:v>
      </x:c>
      <x:c r="U29" s="6" t="str">
        <x:v>https://arxiv.org/abs/2506.09985</x:v>
      </x:c>
      <x:c r="V29" s="6" t="str">
        <x:v>P004</x:v>
      </x:c>
      <x:c r="W29" s="6" t="n">
        <x:v>5</x:v>
      </x:c>
      <x:c r="X29" s="6" t="str">
        <x:v>P004</x:v>
      </x:c>
      <x:c r="Y29" s="6" t="n">
        <x:v>5</x:v>
      </x:c>
      <x:c r="Z29" s="15" t="str">
        <x:f>IF(AND(N29="Yes",AA29="Both distinct selected papers covered"),SQRT((W29+1)*(Y29+1))*IF(Q29="High",1,0.8),"")</x:f>
      </x:c>
      <x:c r="AA29" s="6" t="str">
        <x:v>Single bridge paper used on both sides</x:v>
      </x:c>
      <x:c r="AB29" s="6" t="str">
        <x:v>2026-09-02</x:v>
      </x:c>
      <x:c r="AC29" s="6" t="str">
        <x:v>U3</x:v>
      </x:c>
      <x:c r="AD29" s="6" t="str">
        <x:v>Representation/reward/value</x:v>
      </x:c>
      <x:c r="AE29" s="6" t="str">
        <x:v>Verified single-paper bridge; not ranked</x:v>
      </x:c>
    </x:row>
    <x:row r="30">
      <x:c r="A30" s="6" t="str">
        <x:f>IF(Z30="","",1+COUNTIF($Z$2:$Z$53,"&gt;"&amp;Z30))</x:f>
      </x:c>
      <x:c r="B30" s="6" t="str">
        <x:v>R035</x:v>
      </x:c>
      <x:c r="C30" s="6" t="str">
        <x:v>Homanga Bharadhwaj</x:v>
      </x:c>
      <x:c r="D30" s="6" t="str">
        <x:v>US</x:v>
      </x:c>
      <x:c r="E30" s="6" t="str">
        <x:v>Carnegie Mellon</x:v>
      </x:c>
      <x:c r="F30" s="6" t="str">
        <x:v>U2</x:v>
      </x:c>
      <x:c r="G30" s="6" t="str">
        <x:v>Direct policy</x:v>
      </x:c>
      <x:c r="H30" s="6" t="str">
        <x:v>Bridger</x:v>
      </x:c>
      <x:c r="I30" s="6" t="n">
        <x:v>2</x:v>
      </x:c>
      <x:c r="J30" s="6" t="n">
        <x:v>2</x:v>
      </x:c>
      <x:c r="K30" s="6" t="n">
        <x:v>3</x:v>
      </x:c>
      <x:c r="L30" s="6" t="str">
        <x:v>Yes</x:v>
      </x:c>
      <x:c r="M30" s="6" t="str">
        <x:v>Yes</x:v>
      </x:c>
      <x:c r="N30" s="6" t="str">
        <x:f>IF(AND(L30="Yes",M30="Yes"),"Yes","No")</x:f>
        <x:v>Yes</x:v>
      </x:c>
      <x:c r="O30" s="6" t="str">
        <x:v>Track2Act</x:v>
      </x:c>
      <x:c r="P30" s="6" t="str">
        <x:v>Track2Act</x:v>
      </x:c>
      <x:c r="Q30" s="6" t="str">
        <x:v>High</x:v>
      </x:c>
      <x:c r="R30" s="6" t="str">
        <x:v>World-model planning bridge</x:v>
      </x:c>
      <x:c r="S30" s="6" t="str">
        <x:v>https://homangab.github.io/</x:v>
      </x:c>
      <x:c r="T30" s="6" t="str">
        <x:v>https://arxiv.org/abs/2405.01527</x:v>
      </x:c>
      <x:c r="U30" s="6" t="str">
        <x:v>https://arxiv.org/abs/2405.01527</x:v>
      </x:c>
      <x:c r="V30" s="6" t="str">
        <x:v>P064</x:v>
      </x:c>
      <x:c r="W30" s="6" t="n">
        <x:v>37</x:v>
      </x:c>
      <x:c r="X30" s="6" t="str">
        <x:v>P064</x:v>
      </x:c>
      <x:c r="Y30" s="6" t="n">
        <x:v>37</x:v>
      </x:c>
      <x:c r="Z30" s="15" t="str">
        <x:f>IF(AND(N30="Yes",AA30="Both distinct selected papers covered"),SQRT((W30+1)*(Y30+1))*IF(Q30="High",1,0.8),"")</x:f>
      </x:c>
      <x:c r="AA30" s="6" t="str">
        <x:v>Single bridge paper used on both sides</x:v>
      </x:c>
      <x:c r="AB30" s="6" t="str">
        <x:v>2026-09-02</x:v>
      </x:c>
      <x:c r="AC30" s="6" t="str">
        <x:v>U2</x:v>
      </x:c>
      <x:c r="AD30" s="6" t="str">
        <x:v>Action trajectory/tokens</x:v>
      </x:c>
      <x:c r="AE30" s="6" t="str">
        <x:v>Verified single-paper bridge; not ranked</x:v>
      </x:c>
    </x:row>
    <x:row r="31">
      <x:c r="A31" s="6" t="str">
        <x:f>IF(Z31="","",1+COUNTIF($Z$2:$Z$53,"&gt;"&amp;Z31))</x:f>
      </x:c>
      <x:c r="B31" s="6" t="str">
        <x:v>R043</x:v>
      </x:c>
      <x:c r="C31" s="6" t="str">
        <x:v>Ivan Laptev</x:v>
      </x:c>
      <x:c r="D31" s="6" t="str">
        <x:v>Europe</x:v>
      </x:c>
      <x:c r="E31" s="6" t="str">
        <x:v>Inria / ENS Paris</x:v>
      </x:c>
      <x:c r="F31" s="6" t="str">
        <x:v>U2</x:v>
      </x:c>
      <x:c r="G31" s="6" t="str">
        <x:v>Direct policy</x:v>
      </x:c>
      <x:c r="H31" s="6" t="str">
        <x:v>Bridger</x:v>
      </x:c>
      <x:c r="I31" s="6" t="n">
        <x:v>1</x:v>
      </x:c>
      <x:c r="J31" s="6" t="n">
        <x:v>3</x:v>
      </x:c>
      <x:c r="K31" s="6" t="n">
        <x:v>3</x:v>
      </x:c>
      <x:c r="L31" s="6" t="str">
        <x:v>Yes</x:v>
      </x:c>
      <x:c r="M31" s="6" t="str">
        <x:v>Yes</x:v>
      </x:c>
      <x:c r="N31" s="6" t="str">
        <x:f>IF(AND(L31="Yes",M31="Yes"),"Yes","No")</x:f>
        <x:v>Yes</x:v>
      </x:c>
      <x:c r="O31" s="6" t="str">
        <x:v>Action recognition</x:v>
      </x:c>
      <x:c r="P31" s="6" t="str">
        <x:v>Video-conditioned policies</x:v>
      </x:c>
      <x:c r="Q31" s="6" t="str">
        <x:v>High</x:v>
      </x:c>
      <x:c r="R31" s="6" t="str">
        <x:v>Major European video-understanding→manipulation bridge</x:v>
      </x:c>
      <x:c r="S31" s="6" t="str">
        <x:v>https://www.di.ens.fr/~laptev/</x:v>
      </x:c>
      <x:c r="T31" s="6" t="str">
        <x:v>https://arxiv.org/abs/2305.06289</x:v>
      </x:c>
      <x:c r="U31" s="6" t="str">
        <x:v>https://arxiv.org/abs/2305.06289</x:v>
      </x:c>
      <x:c r="V31" s="6" t="str">
        <x:v>P023</x:v>
      </x:c>
      <x:c r="W31" s="6" t="n">
        <x:v>16</x:v>
      </x:c>
      <x:c r="X31" s="6" t="str">
        <x:v>P023</x:v>
      </x:c>
      <x:c r="Y31" s="6" t="n">
        <x:v>16</x:v>
      </x:c>
      <x:c r="Z31" s="15" t="str">
        <x:f>IF(AND(N31="Yes",AA31="Both distinct selected papers covered"),SQRT((W31+1)*(Y31+1))*IF(Q31="High",1,0.8),"")</x:f>
      </x:c>
      <x:c r="AA31" s="6" t="str">
        <x:v>Single bridge paper used on both sides</x:v>
      </x:c>
      <x:c r="AB31" s="6" t="str">
        <x:v>2026-09-02</x:v>
      </x:c>
      <x:c r="AC31" s="6" t="str">
        <x:v>U2</x:v>
      </x:c>
      <x:c r="AD31" s="6" t="str">
        <x:v>Action trajectory/tokens</x:v>
      </x:c>
      <x:c r="AE31" s="6" t="str">
        <x:v>Verified single-paper bridge; not ranked</x:v>
      </x:c>
    </x:row>
    <x:row r="32">
      <x:c r="A32" s="6" t="str">
        <x:f>IF(Z32="","",1+COUNTIF($Z$2:$Z$53,"&gt;"&amp;Z32))</x:f>
      </x:c>
      <x:c r="B32" s="6" t="str">
        <x:v>R004</x:v>
      </x:c>
      <x:c r="C32" s="6" t="str">
        <x:v>Jiajun Wu</x:v>
      </x:c>
      <x:c r="D32" s="6" t="str">
        <x:v>US</x:v>
      </x:c>
      <x:c r="E32" s="6" t="str">
        <x:v>Stanford</x:v>
      </x:c>
      <x:c r="F32" s="6" t="str">
        <x:v>G1</x:v>
      </x:c>
      <x:c r="G32" s="6" t="str">
        <x:v>Planning</x:v>
      </x:c>
      <x:c r="H32" s="6" t="str">
        <x:v>Bridger</x:v>
      </x:c>
      <x:c r="I32" s="6" t="n">
        <x:v>2</x:v>
      </x:c>
      <x:c r="J32" s="6" t="n">
        <x:v>3</x:v>
      </x:c>
      <x:c r="K32" s="6" t="n">
        <x:v>3</x:v>
      </x:c>
      <x:c r="L32" s="6" t="str">
        <x:v>Yes</x:v>
      </x:c>
      <x:c r="M32" s="6" t="str">
        <x:v>Yes</x:v>
      </x:c>
      <x:c r="N32" s="6" t="str">
        <x:f>IF(AND(L32="Yes",M32="Yes"),"Yes","No")</x:f>
        <x:v>Yes</x:v>
      </x:c>
      <x:c r="O32" s="6" t="str">
        <x:v>SiamMAE / video prediction work</x:v>
      </x:c>
      <x:c r="P32" s="6" t="str">
        <x:v>Dream2Flow; robotics and embodied AI</x:v>
      </x:c>
      <x:c r="Q32" s="6" t="str">
        <x:v>High</x:v>
      </x:c>
      <x:c r="R32" s="6" t="str">
        <x:v>Strong hybrid rather than a clean one-way switch</x:v>
      </x:c>
      <x:c r="S32" s="6" t="str">
        <x:v>https://jiajunwu.com/</x:v>
      </x:c>
      <x:c r="T32" s="6" t="str">
        <x:v>https://arxiv.org/abs/2512.24766</x:v>
      </x:c>
      <x:c r="U32" s="6" t="str">
        <x:v>https://jiajunwu.com/</x:v>
      </x:c>
      <x:c r="V32" s="6" t="str">
        <x:v>P026</x:v>
      </x:c>
      <x:c r="W32" s="6" t="n">
        <x:v>0</x:v>
      </x:c>
      <x:c r="X32" s="6" t="str">
        <x:v>P026</x:v>
      </x:c>
      <x:c r="Y32" s="6" t="n">
        <x:v>0</x:v>
      </x:c>
      <x:c r="Z32" s="15" t="str">
        <x:f>IF(AND(N32="Yes",AA32="Both distinct selected papers covered"),SQRT((W32+1)*(Y32+1))*IF(Q32="High",1,0.8),"")</x:f>
      </x:c>
      <x:c r="AA32" s="6" t="str">
        <x:v>Single bridge paper used on both sides</x:v>
      </x:c>
      <x:c r="AB32" s="6" t="str">
        <x:v>2026-09-02</x:v>
      </x:c>
      <x:c r="AC32" s="6" t="str">
        <x:v>G1</x:v>
      </x:c>
      <x:c r="AD32" s="6" t="str">
        <x:v>Generated image/video</x:v>
      </x:c>
      <x:c r="AE32" s="6" t="str">
        <x:v>Verified single-paper bridge; not ranked</x:v>
      </x:c>
    </x:row>
    <x:row r="33">
      <x:c r="A33" s="6" t="str">
        <x:f>IF(Z33="","",1+COUNTIF($Z$2:$Z$53,"&gt;"&amp;Z33))</x:f>
      </x:c>
      <x:c r="B33" s="6" t="str">
        <x:v>R053</x:v>
      </x:c>
      <x:c r="C33" s="6" t="str">
        <x:v>Jianwei Yang</x:v>
      </x:c>
      <x:c r="D33" s="6" t="str">
        <x:v>US</x:v>
      </x:c>
      <x:c r="E33" s="6" t="str">
        <x:v>Microsoft Research</x:v>
      </x:c>
      <x:c r="F33" s="6" t="str">
        <x:v>VL</x:v>
      </x:c>
      <x:c r="G33" s="6" t="str">
        <x:v>Direct policy</x:v>
      </x:c>
      <x:c r="H33" s="6" t="str">
        <x:v>Bridger</x:v>
      </x:c>
      <x:c r="I33" s="6" t="n">
        <x:v>1</x:v>
      </x:c>
      <x:c r="J33" s="6" t="n">
        <x:v>3</x:v>
      </x:c>
      <x:c r="K33" s="6" t="n">
        <x:v>3</x:v>
      </x:c>
      <x:c r="L33" s="6" t="str">
        <x:v>Yes</x:v>
      </x:c>
      <x:c r="M33" s="6" t="str">
        <x:v>Yes</x:v>
      </x:c>
      <x:c r="N33" s="6" t="str">
        <x:f>IF(AND(L33="Yes",M33="Yes"),"Yes","No")</x:f>
        <x:v>Yes</x:v>
      </x:c>
      <x:c r="O33" s="6" t="str">
        <x:v>Multimodal video understanding</x:v>
      </x:c>
      <x:c r="P33" s="6" t="str">
        <x:v>Magma</x:v>
      </x:c>
      <x:c r="Q33" s="6" t="str">
        <x:v>High</x:v>
      </x:c>
      <x:c r="R33" s="6" t="str">
        <x:v>Unified multimodal agent spanning video and robotics</x:v>
      </x:c>
      <x:c r="S33" s="6" t="str">
        <x:v>https://openaccess.thecvf.com/content/CVPR2025/papers/Yang_Magma_A_Foundation_Model_for_Multimodal_AI_Agents_CVPR_2025_paper.pdf</x:v>
      </x:c>
      <x:c r="T33" s="6" t="str">
        <x:v>https://openaccess.thecvf.com/content/CVPR2025/papers/Yang_Magma_A_Foundation_Model_for_Multimodal_AI_Agents_CVPR_2025_paper.pdf</x:v>
      </x:c>
      <x:c r="U33" s="6" t="str">
        <x:v>https://openaccess.thecvf.com/content/CVPR2025/papers/Yang_Magma_A_Foundation_Model_for_Multimodal_AI_Agents_CVPR_2025_paper.pdf</x:v>
      </x:c>
      <x:c r="V33" s="6" t="str">
        <x:v>P025</x:v>
      </x:c>
      <x:c r="W33" s="6" t="n">
        <x:v>21</x:v>
      </x:c>
      <x:c r="X33" s="6" t="str">
        <x:v>P025</x:v>
      </x:c>
      <x:c r="Y33" s="6" t="n">
        <x:v>21</x:v>
      </x:c>
      <x:c r="Z33" s="15" t="str">
        <x:f>IF(AND(N33="Yes",AA33="Both distinct selected papers covered"),SQRT((W33+1)*(Y33+1))*IF(Q33="High",1,0.8),"")</x:f>
      </x:c>
      <x:c r="AA33" s="6" t="str">
        <x:v>Single bridge paper used on both sides</x:v>
      </x:c>
      <x:c r="AB33" s="6" t="str">
        <x:v>2026-09-02</x:v>
      </x:c>
      <x:c r="AC33" s="6" t="str">
        <x:v>VL</x:v>
      </x:c>
      <x:c r="AD33" s="6" t="str">
        <x:v>Action trajectory/tokens</x:v>
      </x:c>
      <x:c r="AE33" s="6" t="str">
        <x:v>Verified single-paper bridge; not ranked</x:v>
      </x:c>
    </x:row>
    <x:row r="34">
      <x:c r="A34" s="6" t="str">
        <x:f>IF(Z34="","",1+COUNTIF($Z$2:$Z$53,"&gt;"&amp;Z34))</x:f>
      </x:c>
      <x:c r="B34" s="6" t="str">
        <x:v>R007</x:v>
      </x:c>
      <x:c r="C34" s="6" t="str">
        <x:v>João Carreira</x:v>
      </x:c>
      <x:c r="D34" s="6" t="str">
        <x:v>Europe</x:v>
      </x:c>
      <x:c r="E34" s="6" t="str">
        <x:v>Google DeepMind London</x:v>
      </x:c>
      <x:c r="F34" s="6" t="str">
        <x:v>U1</x:v>
      </x:c>
      <x:c r="G34" s="6" t="str">
        <x:v>Perception backbone</x:v>
      </x:c>
      <x:c r="H34" s="6" t="str">
        <x:v>Bridger</x:v>
      </x:c>
      <x:c r="I34" s="6" t="n">
        <x:v>2</x:v>
      </x:c>
      <x:c r="J34" s="6" t="n">
        <x:v>3</x:v>
      </x:c>
      <x:c r="K34" s="6" t="n">
        <x:v>2</x:v>
      </x:c>
      <x:c r="L34" s="6" t="str">
        <x:v>Yes</x:v>
      </x:c>
      <x:c r="M34" s="6" t="str">
        <x:v>Emerging</x:v>
      </x:c>
      <x:c r="N34" s="6" t="str">
        <x:f>IF(AND(L34="Yes",M34="Yes"),"Yes","No")</x:f>
        <x:v>No</x:v>
      </x:c>
      <x:c r="O34" s="6" t="str">
        <x:v>I3D / Kinetics</x:v>
      </x:c>
      <x:c r="P34" s="6" t="str">
        <x:v>Embodied/world-model work</x:v>
      </x:c>
      <x:c r="Q34" s="6" t="str">
        <x:v>Medium</x:v>
      </x:c>
      <x:c r="R34" s="6" t="str">
        <x:v>Spans understanding and generation; robotics link mostly enabling architecture</x:v>
      </x:c>
      <x:c r="S34" s="6" t="str">
        <x:v>https://scholar.google.com/citations?user=IUZ-7_cAAAAJ</x:v>
      </x:c>
      <x:c r="T34" s="6" t="str">
        <x:v>https://arxiv.org/abs/1705.07750</x:v>
      </x:c>
      <x:c r="U34" s="6" t="str">
        <x:v>https://arxiv.org/abs/2312.00598</x:v>
      </x:c>
      <x:c r="V34" s="6" t="str">
        <x:v>P065</x:v>
      </x:c>
      <x:c r="W34" s="6" t="n">
        <x:v>432</x:v>
      </x:c>
      <x:c r="X34" s="6" t="str">
        <x:v>P006</x:v>
      </x:c>
      <x:c r="Y34" s="6" t="n">
        <x:v>26</x:v>
      </x:c>
      <x:c r="Z34" s="15" t="str">
        <x:f>IF(AND(N34="Yes",AA34="Both distinct selected papers covered"),SQRT((W34+1)*(Y34+1))*IF(Q34="High",1,0.8),"")</x:f>
      </x:c>
      <x:c r="AA34" s="6" t="str">
        <x:v>Both distinct selected papers covered</x:v>
      </x:c>
      <x:c r="AB34" s="6" t="str">
        <x:v>2026-09-02</x:v>
      </x:c>
      <x:c r="AC34" s="6" t="str">
        <x:v>U1</x:v>
      </x:c>
      <x:c r="AD34" s="6" t="str">
        <x:v>Dataset/benchmark</x:v>
      </x:c>
      <x:c r="AE34" s="6" t="str">
        <x:v>Verified distinct paper pair</x:v>
      </x:c>
    </x:row>
    <x:row r="35">
      <x:c r="A35" s="6" t="str">
        <x:f>IF(Z35="","",1+COUNTIF($Z$2:$Z$53,"&gt;"&amp;Z35))</x:f>
      </x:c>
      <x:c r="B35" s="6" t="str">
        <x:v>R003</x:v>
      </x:c>
      <x:c r="C35" s="6" t="str">
        <x:v>José Lezama</x:v>
      </x:c>
      <x:c r="D35" s="6" t="str">
        <x:v>US</x:v>
      </x:c>
      <x:c r="E35" s="6" t="str">
        <x:v>Google Research / DeepMind</x:v>
      </x:c>
      <x:c r="F35" s="6" t="str">
        <x:v>G1</x:v>
      </x:c>
      <x:c r="G35" s="6" t="str">
        <x:v>World simulation</x:v>
      </x:c>
      <x:c r="H35" s="6" t="str">
        <x:v>Bridger</x:v>
      </x:c>
      <x:c r="I35" s="6" t="n">
        <x:v>3</x:v>
      </x:c>
      <x:c r="J35" s="6" t="n">
        <x:v>1</x:v>
      </x:c>
      <x:c r="K35" s="6" t="n">
        <x:v>2</x:v>
      </x:c>
      <x:c r="L35" s="6" t="str">
        <x:v>Yes</x:v>
      </x:c>
      <x:c r="M35" s="6" t="str">
        <x:v>Emerging</x:v>
      </x:c>
      <x:c r="N35" s="6" t="str">
        <x:f>IF(AND(L35="Yes",M35="Yes"),"Yes","No")</x:f>
        <x:v>No</x:v>
      </x:c>
      <x:c r="O35" s="6" t="str">
        <x:v>WALT</x:v>
      </x:c>
      <x:c r="P35" s="6" t="str">
        <x:v>Interactive world-model work</x:v>
      </x:c>
      <x:c r="Q35" s="6" t="str">
        <x:v>Medium</x:v>
      </x:c>
      <x:c r="R35" s="6" t="str">
        <x:v>Generation-heavy; robotics link is world simulation</x:v>
      </x:c>
      <x:c r="S35" s="6" t="str">
        <x:v>https://jlezama.github.io/</x:v>
      </x:c>
      <x:c r="T35" s="6" t="str">
        <x:v>https://arxiv.org/abs/2312.06662</x:v>
      </x:c>
      <x:c r="U35" s="6" t="str">
        <x:v>https://deepmind.google/discover/blog/genie-2-a-large-scale-foundation-world-model/</x:v>
      </x:c>
      <x:c r="V35" s="6" t="str">
        <x:v>P001</x:v>
      </x:c>
      <x:c r="W35" s="6" t="n">
        <x:v>7</x:v>
      </x:c>
      <x:c r="X35" s="6"/>
      <x:c r="Y35" s="6"/>
      <x:c r="Z35" s="15" t="str">
        <x:f>IF(AND(N35="Yes",AA35="Both distinct selected papers covered"),SQRT((W35+1)*(Y35+1))*IF(Q35="High",1,0.8),"")</x:f>
      </x:c>
      <x:c r="AA35" s="6" t="str">
        <x:v>Partial / missing selected-paper coverage</x:v>
      </x:c>
      <x:c r="AB35" s="6" t="str">
        <x:v>2026-09-02</x:v>
      </x:c>
      <x:c r="AC35" s="6" t="str">
        <x:v>G1</x:v>
      </x:c>
      <x:c r="AD35" s="6"/>
      <x:c r="AE35" s="6" t="str">
        <x:v>Partial evidence</x:v>
      </x:c>
    </x:row>
    <x:row r="36">
      <x:c r="A36" s="6" t="str">
        <x:f>IF(Z36="","",1+COUNTIF($Z$2:$Z$53,"&gt;"&amp;Z36))</x:f>
      </x:c>
      <x:c r="B36" s="6" t="str">
        <x:v>R041</x:v>
      </x:c>
      <x:c r="C36" s="6" t="str">
        <x:v>Karthik Dharmarajan</x:v>
      </x:c>
      <x:c r="D36" s="6" t="str">
        <x:v>US</x:v>
      </x:c>
      <x:c r="E36" s="6" t="str">
        <x:v>Stanford</x:v>
      </x:c>
      <x:c r="F36" s="6" t="str">
        <x:v>G1</x:v>
      </x:c>
      <x:c r="G36" s="6" t="str">
        <x:v>Planning</x:v>
      </x:c>
      <x:c r="H36" s="6" t="str">
        <x:v>Bridger</x:v>
      </x:c>
      <x:c r="I36" s="6" t="n">
        <x:v>2</x:v>
      </x:c>
      <x:c r="J36" s="6" t="n">
        <x:v>1</x:v>
      </x:c>
      <x:c r="K36" s="6" t="n">
        <x:v>3</x:v>
      </x:c>
      <x:c r="L36" s="6" t="str">
        <x:v>Emerging</x:v>
      </x:c>
      <x:c r="M36" s="6" t="str">
        <x:v>Emerging</x:v>
      </x:c>
      <x:c r="N36" s="6" t="str">
        <x:f>IF(AND(L36="Yes",M36="Yes"),"Yes","No")</x:f>
        <x:v>No</x:v>
      </x:c>
      <x:c r="O36" s="6" t="str">
        <x:v>Video generation</x:v>
      </x:c>
      <x:c r="P36" s="6" t="str">
        <x:v>Dream2Flow</x:v>
      </x:c>
      <x:c r="Q36" s="6" t="str">
        <x:v>Medium</x:v>
      </x:c>
      <x:c r="R36" s="6" t="str">
        <x:v>Early-career recent bridge</x:v>
      </x:c>
      <x:c r="S36" s="6" t="str">
        <x:v>https://jiajunwu.com/</x:v>
      </x:c>
      <x:c r="T36" s="6" t="str">
        <x:v>https://jiajunwu.com/</x:v>
      </x:c>
      <x:c r="U36" s="6" t="str">
        <x:v>https://jiajunwu.com/</x:v>
      </x:c>
      <x:c r="V36" s="6" t="str">
        <x:v>P026</x:v>
      </x:c>
      <x:c r="W36" s="6" t="n">
        <x:v>0</x:v>
      </x:c>
      <x:c r="X36" s="6" t="str">
        <x:v>P026</x:v>
      </x:c>
      <x:c r="Y36" s="6" t="n">
        <x:v>0</x:v>
      </x:c>
      <x:c r="Z36" s="15" t="str">
        <x:f>IF(AND(N36="Yes",AA36="Both distinct selected papers covered"),SQRT((W36+1)*(Y36+1))*IF(Q36="High",1,0.8),"")</x:f>
      </x:c>
      <x:c r="AA36" s="6" t="str">
        <x:v>Single bridge paper used on both sides</x:v>
      </x:c>
      <x:c r="AB36" s="6" t="str">
        <x:v>2026-09-02</x:v>
      </x:c>
      <x:c r="AC36" s="6" t="str">
        <x:v>G1</x:v>
      </x:c>
      <x:c r="AD36" s="6" t="str">
        <x:v>Generated image/video</x:v>
      </x:c>
      <x:c r="AE36" s="6" t="str">
        <x:v>Verified single-paper bridge; not ranked</x:v>
      </x:c>
    </x:row>
    <x:row r="37">
      <x:c r="A37" s="6" t="str">
        <x:f>IF(Z37="","",1+COUNTIF($Z$2:$Z$53,"&gt;"&amp;Z37))</x:f>
      </x:c>
      <x:c r="B37" s="6" t="str">
        <x:v>R002</x:v>
      </x:c>
      <x:c r="C37" s="6" t="str">
        <x:v>Lijun Yu</x:v>
      </x:c>
      <x:c r="D37" s="6" t="str">
        <x:v>US</x:v>
      </x:c>
      <x:c r="E37" s="6" t="str">
        <x:v>Google Research / DeepMind</x:v>
      </x:c>
      <x:c r="F37" s="6" t="str">
        <x:v>G1</x:v>
      </x:c>
      <x:c r="G37" s="6" t="str">
        <x:v>World simulation</x:v>
      </x:c>
      <x:c r="H37" s="6" t="str">
        <x:v>Bridger</x:v>
      </x:c>
      <x:c r="I37" s="6" t="n">
        <x:v>3</x:v>
      </x:c>
      <x:c r="J37" s="6" t="n">
        <x:v>1</x:v>
      </x:c>
      <x:c r="K37" s="6" t="n">
        <x:v>2</x:v>
      </x:c>
      <x:c r="L37" s="6" t="str">
        <x:v>Yes</x:v>
      </x:c>
      <x:c r="M37" s="6" t="str">
        <x:v>Emerging</x:v>
      </x:c>
      <x:c r="N37" s="6" t="str">
        <x:f>IF(AND(L37="Yes",M37="Yes"),"Yes","No")</x:f>
        <x:v>No</x:v>
      </x:c>
      <x:c r="O37" s="6" t="str">
        <x:v>WALT; MAGVIT-v2</x:v>
      </x:c>
      <x:c r="P37" s="6" t="str">
        <x:v>Genie / interactive world modeling</x:v>
      </x:c>
      <x:c r="Q37" s="6" t="str">
        <x:v>Medium</x:v>
      </x:c>
      <x:c r="R37" s="6" t="str">
        <x:v>Pixel/token video generation to interactive worlds</x:v>
      </x:c>
      <x:c r="S37" s="6" t="str">
        <x:v>https://me.lj-y.com/</x:v>
      </x:c>
      <x:c r="T37" s="6" t="str">
        <x:v>https://arxiv.org/abs/2312.06662</x:v>
      </x:c>
      <x:c r="U37" s="6" t="str">
        <x:v>https://deepmind.google/discover/blog/genie-2-a-large-scale-foundation-world-model/</x:v>
      </x:c>
      <x:c r="V37" s="6" t="str">
        <x:v>P001</x:v>
      </x:c>
      <x:c r="W37" s="6" t="n">
        <x:v>7</x:v>
      </x:c>
      <x:c r="X37" s="6"/>
      <x:c r="Y37" s="6"/>
      <x:c r="Z37" s="15" t="str">
        <x:f>IF(AND(N37="Yes",AA37="Both distinct selected papers covered"),SQRT((W37+1)*(Y37+1))*IF(Q37="High",1,0.8),"")</x:f>
      </x:c>
      <x:c r="AA37" s="6" t="str">
        <x:v>Partial / missing selected-paper coverage</x:v>
      </x:c>
      <x:c r="AB37" s="6" t="str">
        <x:v>2026-09-02</x:v>
      </x:c>
      <x:c r="AC37" s="6" t="str">
        <x:v>G1</x:v>
      </x:c>
      <x:c r="AD37" s="6"/>
      <x:c r="AE37" s="6" t="str">
        <x:v>Partial evidence</x:v>
      </x:c>
    </x:row>
    <x:row r="38">
      <x:c r="A38" s="6" t="str">
        <x:f>IF(Z38="","",1+COUNTIF($Z$2:$Z$53,"&gt;"&amp;Z38))</x:f>
      </x:c>
      <x:c r="B38" s="6" t="str">
        <x:v>R027</x:v>
      </x:c>
      <x:c r="C38" s="6" t="str">
        <x:v>Mohammad Babaeizadeh</x:v>
      </x:c>
      <x:c r="D38" s="6" t="str">
        <x:v>US</x:v>
      </x:c>
      <x:c r="E38" s="6" t="str">
        <x:v>Google / NVIDIA</x:v>
      </x:c>
      <x:c r="F38" s="6" t="str">
        <x:v>G2</x:v>
      </x:c>
      <x:c r="G38" s="6" t="str">
        <x:v>World simulation</x:v>
      </x:c>
      <x:c r="H38" s="6" t="str">
        <x:v>Bridger</x:v>
      </x:c>
      <x:c r="I38" s="6" t="n">
        <x:v>3</x:v>
      </x:c>
      <x:c r="J38" s="6" t="n">
        <x:v>1</x:v>
      </x:c>
      <x:c r="K38" s="6" t="n">
        <x:v>2</x:v>
      </x:c>
      <x:c r="L38" s="6" t="str">
        <x:v>Yes</x:v>
      </x:c>
      <x:c r="M38" s="6" t="str">
        <x:v>Emerging</x:v>
      </x:c>
      <x:c r="N38" s="6" t="str">
        <x:f>IF(AND(L38="Yes",M38="Yes"),"Yes","No")</x:f>
        <x:v>No</x:v>
      </x:c>
      <x:c r="O38" s="6" t="str">
        <x:v>SV2P; FitVid</x:v>
      </x:c>
      <x:c r="P38" s="6" t="str">
        <x:v>Robot/world simulation</x:v>
      </x:c>
      <x:c r="Q38" s="6" t="str">
        <x:v>High</x:v>
      </x:c>
      <x:c r="R38" s="6" t="str">
        <x:v>Important stochastic video prediction lineage</x:v>
      </x:c>
      <x:c r="S38" s="6" t="str">
        <x:v>https://scholar.google.com/scholar?q=Mohammad+Babaeizadeh+video+prediction</x:v>
      </x:c>
      <x:c r="T38" s="6" t="str">
        <x:v>https://arxiv.org/abs/1710.11252</x:v>
      </x:c>
      <x:c r="U38" s="6" t="str">
        <x:v>https://arxiv.org/abs/2106.13195</x:v>
      </x:c>
      <x:c r="V38" s="6" t="str">
        <x:v>P008</x:v>
      </x:c>
      <x:c r="W38" s="6" t="n">
        <x:v>73</x:v>
      </x:c>
      <x:c r="X38" s="6" t="str">
        <x:v>P010</x:v>
      </x:c>
      <x:c r="Y38" s="6" t="n">
        <x:v>29</x:v>
      </x:c>
      <x:c r="Z38" s="15" t="str">
        <x:f>IF(AND(N38="Yes",AA38="Both distinct selected papers covered"),SQRT((W38+1)*(Y38+1))*IF(Q38="High",1,0.8),"")</x:f>
      </x:c>
      <x:c r="AA38" s="6" t="str">
        <x:v>Both distinct selected papers covered</x:v>
      </x:c>
      <x:c r="AB38" s="6" t="str">
        <x:v>2026-09-02</x:v>
      </x:c>
      <x:c r="AC38" s="6" t="str">
        <x:v>G2</x:v>
      </x:c>
      <x:c r="AD38" s="6" t="str">
        <x:v>Predicted future video/state</x:v>
      </x:c>
      <x:c r="AE38" s="6" t="str">
        <x:v>Verified distinct paper pair</x:v>
      </x:c>
    </x:row>
    <x:row r="39">
      <x:c r="A39" s="6" t="str">
        <x:f>IF(Z39="","",1+COUNTIF($Z$2:$Z$53,"&gt;"&amp;Z39))</x:f>
      </x:c>
      <x:c r="B39" s="6" t="str">
        <x:v>R021</x:v>
      </x:c>
      <x:c r="C39" s="6" t="str">
        <x:v>Moo Jin Kim</x:v>
      </x:c>
      <x:c r="D39" s="6" t="str">
        <x:v>US</x:v>
      </x:c>
      <x:c r="E39" s="6" t="str">
        <x:v>NVIDIA / Stanford</x:v>
      </x:c>
      <x:c r="F39" s="6" t="str">
        <x:v>G2</x:v>
      </x:c>
      <x:c r="G39" s="6" t="str">
        <x:v>Direct policy</x:v>
      </x:c>
      <x:c r="H39" s="6" t="str">
        <x:v>Bridger</x:v>
      </x:c>
      <x:c r="I39" s="6" t="n">
        <x:v>2</x:v>
      </x:c>
      <x:c r="J39" s="6" t="n">
        <x:v>1</x:v>
      </x:c>
      <x:c r="K39" s="6" t="n">
        <x:v>3</x:v>
      </x:c>
      <x:c r="L39" s="6" t="str">
        <x:v>Emerging</x:v>
      </x:c>
      <x:c r="M39" s="6" t="str">
        <x:v>Yes</x:v>
      </x:c>
      <x:c r="N39" s="6" t="str">
        <x:f>IF(AND(L39="Yes",M39="Yes"),"Yes","No")</x:f>
        <x:v>No</x:v>
      </x:c>
      <x:c r="O39" s="6" t="str">
        <x:v>Cosmos-Predict lineage</x:v>
      </x:c>
      <x:c r="P39" s="6" t="str">
        <x:v>Cosmos Policy</x:v>
      </x:c>
      <x:c r="Q39" s="6" t="str">
        <x:v>High</x:v>
      </x:c>
      <x:c r="R39" s="6" t="str">
        <x:v>Lead robotics transfer of generative video foundation model</x:v>
      </x:c>
      <x:c r="S39" s="6" t="str">
        <x:v>https://research.nvidia.com/labs/cosmos-lab/cosmos-policy/</x:v>
      </x:c>
      <x:c r="T39" s="6" t="str">
        <x:v>https://arxiv.org/abs/2501.03575</x:v>
      </x:c>
      <x:c r="U39" s="6" t="str">
        <x:v>https://arxiv.org/abs/2601.16163</x:v>
      </x:c>
      <x:c r="V39" s="6" t="str">
        <x:v>P016</x:v>
      </x:c>
      <x:c r="W39" s="6" t="n">
        <x:v>10</x:v>
      </x:c>
      <x:c r="X39" s="6" t="str">
        <x:v>P017</x:v>
      </x:c>
      <x:c r="Y39" s="6" t="n">
        <x:v>0</x:v>
      </x:c>
      <x:c r="Z39" s="15" t="str">
        <x:f>IF(AND(N39="Yes",AA39="Both distinct selected papers covered"),SQRT((W39+1)*(Y39+1))*IF(Q39="High",1,0.8),"")</x:f>
      </x:c>
      <x:c r="AA39" s="6" t="str">
        <x:v>Both distinct selected papers covered</x:v>
      </x:c>
      <x:c r="AB39" s="6" t="str">
        <x:v>2026-09-02</x:v>
      </x:c>
      <x:c r="AC39" s="6" t="str">
        <x:v>G2</x:v>
      </x:c>
      <x:c r="AD39" s="6" t="str">
        <x:v>Joint visual/state + action</x:v>
      </x:c>
      <x:c r="AE39" s="6" t="str">
        <x:v>Verified distinct paper pair</x:v>
      </x:c>
    </x:row>
    <x:row r="40">
      <x:c r="A40" s="6" t="str">
        <x:f>IF(Z40="","",1+COUNTIF($Z$2:$Z$53,"&gt;"&amp;Z40))</x:f>
      </x:c>
      <x:c r="B40" s="6" t="str">
        <x:v>R039</x:v>
      </x:c>
      <x:c r="C40" s="6" t="str">
        <x:v>Ruohan Zhang</x:v>
      </x:c>
      <x:c r="D40" s="6" t="str">
        <x:v>US</x:v>
      </x:c>
      <x:c r="E40" s="6" t="str">
        <x:v>Stanford</x:v>
      </x:c>
      <x:c r="F40" s="6" t="str">
        <x:v>G1</x:v>
      </x:c>
      <x:c r="G40" s="6" t="str">
        <x:v>Planning</x:v>
      </x:c>
      <x:c r="H40" s="6" t="str">
        <x:v>Native hybrid</x:v>
      </x:c>
      <x:c r="I40" s="6" t="n">
        <x:v>2</x:v>
      </x:c>
      <x:c r="J40" s="6" t="n">
        <x:v>2</x:v>
      </x:c>
      <x:c r="K40" s="6" t="n">
        <x:v>3</x:v>
      </x:c>
      <x:c r="L40" s="6" t="str">
        <x:v>Emerging</x:v>
      </x:c>
      <x:c r="M40" s="6" t="str">
        <x:v>Yes</x:v>
      </x:c>
      <x:c r="N40" s="6" t="str">
        <x:f>IF(AND(L40="Yes",M40="Yes"),"Yes","No")</x:f>
        <x:v>No</x:v>
      </x:c>
      <x:c r="O40" s="6" t="str">
        <x:v>Generative/embodied visual work</x:v>
      </x:c>
      <x:c r="P40" s="6" t="str">
        <x:v>Dream2Flow</x:v>
      </x:c>
      <x:c r="Q40" s="6" t="str">
        <x:v>High</x:v>
      </x:c>
      <x:c r="R40" s="6" t="str">
        <x:v>Embodied generation and manipulation bridge</x:v>
      </x:c>
      <x:c r="S40" s="6" t="str">
        <x:v>https://ruohanzhang.com/</x:v>
      </x:c>
      <x:c r="T40" s="6" t="str">
        <x:v>https://jiajunwu.com/</x:v>
      </x:c>
      <x:c r="U40" s="6" t="str">
        <x:v>https://jiajunwu.com/</x:v>
      </x:c>
      <x:c r="V40" s="6" t="str">
        <x:v>P026</x:v>
      </x:c>
      <x:c r="W40" s="6" t="n">
        <x:v>0</x:v>
      </x:c>
      <x:c r="X40" s="6" t="str">
        <x:v>P026</x:v>
      </x:c>
      <x:c r="Y40" s="6" t="n">
        <x:v>0</x:v>
      </x:c>
      <x:c r="Z40" s="15" t="str">
        <x:f>IF(AND(N40="Yes",AA40="Both distinct selected papers covered"),SQRT((W40+1)*(Y40+1))*IF(Q40="High",1,0.8),"")</x:f>
      </x:c>
      <x:c r="AA40" s="6" t="str">
        <x:v>Single bridge paper used on both sides</x:v>
      </x:c>
      <x:c r="AB40" s="6" t="str">
        <x:v>2026-09-02</x:v>
      </x:c>
      <x:c r="AC40" s="6" t="str">
        <x:v>G1</x:v>
      </x:c>
      <x:c r="AD40" s="6" t="str">
        <x:v>Generated image/video</x:v>
      </x:c>
      <x:c r="AE40" s="6" t="str">
        <x:v>Verified single-paper bridge; not ranked</x:v>
      </x:c>
    </x:row>
    <x:row r="41">
      <x:c r="A41" s="6" t="str">
        <x:f>IF(Z41="","",1+COUNTIF($Z$2:$Z$53,"&gt;"&amp;Z41))</x:f>
      </x:c>
      <x:c r="B41" s="6" t="str">
        <x:v>R036</x:v>
      </x:c>
      <x:c r="C41" s="6" t="str">
        <x:v>Russell Mendonca</x:v>
      </x:c>
      <x:c r="D41" s="6" t="str">
        <x:v>US</x:v>
      </x:c>
      <x:c r="E41" s="6" t="str">
        <x:v>Carnegie Mellon</x:v>
      </x:c>
      <x:c r="F41" s="6" t="str">
        <x:v>U2</x:v>
      </x:c>
      <x:c r="G41" s="6" t="str">
        <x:v>Direct policy</x:v>
      </x:c>
      <x:c r="H41" s="6" t="str">
        <x:v>Bridger</x:v>
      </x:c>
      <x:c r="I41" s="6" t="n">
        <x:v>1</x:v>
      </x:c>
      <x:c r="J41" s="6" t="n">
        <x:v>3</x:v>
      </x:c>
      <x:c r="K41" s="6" t="n">
        <x:v>3</x:v>
      </x:c>
      <x:c r="L41" s="6" t="str">
        <x:v>Yes</x:v>
      </x:c>
      <x:c r="M41" s="6" t="str">
        <x:v>Yes</x:v>
      </x:c>
      <x:c r="N41" s="6" t="str">
        <x:f>IF(AND(L41="Yes",M41="Yes"),"Yes","No")</x:f>
        <x:v>Yes</x:v>
      </x:c>
      <x:c r="O41" s="6" t="str">
        <x:v>Learning from videos</x:v>
      </x:c>
      <x:c r="P41" s="6" t="str">
        <x:v>WHIRL; robot learning</x:v>
      </x:c>
      <x:c r="Q41" s="6" t="str">
        <x:v>High</x:v>
      </x:c>
      <x:c r="R41" s="6" t="str">
        <x:v>Human-video imitation to real robots</x:v>
      </x:c>
      <x:c r="S41" s="6" t="str">
        <x:v>https://russellmendonca.github.io/</x:v>
      </x:c>
      <x:c r="T41" s="6" t="str">
        <x:v>https://arxiv.org/abs/2207.09450</x:v>
      </x:c>
      <x:c r="U41" s="6" t="str">
        <x:v>https://arxiv.org/abs/2207.09450</x:v>
      </x:c>
      <x:c r="V41" s="6" t="str">
        <x:v>P036</x:v>
      </x:c>
      <x:c r="W41" s="6" t="n">
        <x:v>83</x:v>
      </x:c>
      <x:c r="X41" s="6" t="str">
        <x:v>P036</x:v>
      </x:c>
      <x:c r="Y41" s="6" t="n">
        <x:v>83</x:v>
      </x:c>
      <x:c r="Z41" s="15" t="str">
        <x:f>IF(AND(N41="Yes",AA41="Both distinct selected papers covered"),SQRT((W41+1)*(Y41+1))*IF(Q41="High",1,0.8),"")</x:f>
      </x:c>
      <x:c r="AA41" s="6" t="str">
        <x:v>Single bridge paper used on both sides</x:v>
      </x:c>
      <x:c r="AB41" s="6" t="str">
        <x:v>2026-09-02</x:v>
      </x:c>
      <x:c r="AC41" s="6" t="str">
        <x:v>U2</x:v>
      </x:c>
      <x:c r="AD41" s="6" t="str">
        <x:v>Action trajectory/tokens</x:v>
      </x:c>
      <x:c r="AE41" s="6" t="str">
        <x:v>Verified single-paper bridge; not ranked</x:v>
      </x:c>
    </x:row>
    <x:row r="42">
      <x:c r="A42" s="6" t="str">
        <x:f>IF(Z42="","",1+COUNTIF($Z$2:$Z$53,"&gt;"&amp;Z42))</x:f>
      </x:c>
      <x:c r="B42" s="6" t="str">
        <x:v>R051</x:v>
      </x:c>
      <x:c r="C42" s="6" t="str">
        <x:v>Samarth Sinha</x:v>
      </x:c>
      <x:c r="D42" s="6" t="str">
        <x:v>US</x:v>
      </x:c>
      <x:c r="E42" s="6" t="str">
        <x:v>Luma AI → 1X World Model Lab</x:v>
      </x:c>
      <x:c r="F42" s="6" t="str">
        <x:v>G2</x:v>
      </x:c>
      <x:c r="G42" s="6" t="str">
        <x:v>World simulation</x:v>
      </x:c>
      <x:c r="H42" s="6" t="str">
        <x:v>Switcher</x:v>
      </x:c>
      <x:c r="I42" s="6" t="n">
        <x:v>3</x:v>
      </x:c>
      <x:c r="J42" s="6" t="n">
        <x:v>1</x:v>
      </x:c>
      <x:c r="K42" s="6" t="n">
        <x:v>3</x:v>
      </x:c>
      <x:c r="L42" s="6" t="str">
        <x:v>Emerging</x:v>
      </x:c>
      <x:c r="M42" s="6" t="str">
        <x:v>Emerging</x:v>
      </x:c>
      <x:c r="N42" s="6" t="str">
        <x:f>IF(AND(L42="Yes",M42="Yes"),"Yes","No")</x:f>
        <x:v>No</x:v>
      </x:c>
      <x:c r="O42" s="6" t="str">
        <x:v>Video generation</x:v>
      </x:c>
      <x:c r="P42" s="6" t="str">
        <x:v>1X World Model</x:v>
      </x:c>
      <x:c r="Q42" s="6" t="str">
        <x:v>High</x:v>
      </x:c>
      <x:c r="R42" s="6" t="str">
        <x:v>Clear organizational move from video generation to robot world models</x:v>
      </x:c>
      <x:c r="S42" s="6" t="str">
        <x:v>https://www.samsinha.me/</x:v>
      </x:c>
      <x:c r="T42" s="6" t="str">
        <x:v>https://www.samsinha.me/</x:v>
      </x:c>
      <x:c r="U42" s="6" t="str">
        <x:v>https://www.1x.tech/discover/1x-world-model-lab</x:v>
      </x:c>
      <x:c r="V42" s="6" t="str">
        <x:v>P032</x:v>
      </x:c>
      <x:c r="W42" s="6"/>
      <x:c r="X42" s="6" t="str">
        <x:v>P032</x:v>
      </x:c>
      <x:c r="Y42" s="6"/>
      <x:c r="Z42" s="15" t="str">
        <x:f>IF(AND(N42="Yes",AA42="Both distinct selected papers covered"),SQRT((W42+1)*(Y42+1))*IF(Q42="High",1,0.8),"")</x:f>
      </x:c>
      <x:c r="AA42" s="6" t="str">
        <x:v>Partial / missing selected-paper coverage</x:v>
      </x:c>
      <x:c r="AB42" s="6" t="str">
        <x:v>2026-09-02</x:v>
      </x:c>
      <x:c r="AC42" s="6" t="str">
        <x:v>G2</x:v>
      </x:c>
      <x:c r="AD42" s="6" t="str">
        <x:v>Predicted future video/state</x:v>
      </x:c>
      <x:c r="AE42" s="6" t="str">
        <x:v>Verified distinct paper pair</x:v>
      </x:c>
    </x:row>
    <x:row r="43">
      <x:c r="A43" s="6" t="str">
        <x:f>IF(Z43="","",1+COUNTIF($Z$2:$Z$53,"&gt;"&amp;Z43))</x:f>
      </x:c>
      <x:c r="B43" s="6" t="str">
        <x:v>R016</x:v>
      </x:c>
      <x:c r="C43" s="6" t="str">
        <x:v>Sergio Arnaud</x:v>
      </x:c>
      <x:c r="D43" s="6" t="str">
        <x:v>Europe</x:v>
      </x:c>
      <x:c r="E43" s="6" t="str">
        <x:v>Meta FAIR Paris</x:v>
      </x:c>
      <x:c r="F43" s="6" t="str">
        <x:v>U3</x:v>
      </x:c>
      <x:c r="G43" s="6" t="str">
        <x:v>Planning</x:v>
      </x:c>
      <x:c r="H43" s="6" t="str">
        <x:v>Bridger</x:v>
      </x:c>
      <x:c r="I43" s="6" t="n">
        <x:v>0</x:v>
      </x:c>
      <x:c r="J43" s="6" t="n">
        <x:v>3</x:v>
      </x:c>
      <x:c r="K43" s="6" t="n">
        <x:v>3</x:v>
      </x:c>
      <x:c r="L43" s="6" t="str">
        <x:v>Yes</x:v>
      </x:c>
      <x:c r="M43" s="6" t="str">
        <x:v>Yes</x:v>
      </x:c>
      <x:c r="N43" s="6" t="str">
        <x:f>IF(AND(L43="Yes",M43="Yes"),"Yes","No")</x:f>
        <x:v>Yes</x:v>
      </x:c>
      <x:c r="O43" s="6" t="str">
        <x:v>V-JEPA 2</x:v>
      </x:c>
      <x:c r="P43" s="6" t="str">
        <x:v>V-JEPA 2-AC</x:v>
      </x:c>
      <x:c r="Q43" s="6" t="str">
        <x:v>High</x:v>
      </x:c>
      <x:c r="R43" s="6" t="str">
        <x:v>Core team on robotics post-training</x:v>
      </x:c>
      <x:c r="S43" s="6" t="str">
        <x:v>https://arxiv.org/abs/2506.09985</x:v>
      </x:c>
      <x:c r="T43" s="6" t="str">
        <x:v>https://arxiv.org/abs/2506.09985</x:v>
      </x:c>
      <x:c r="U43" s="6" t="str">
        <x:v>https://arxiv.org/abs/2506.09985</x:v>
      </x:c>
      <x:c r="V43" s="6" t="str">
        <x:v>P004</x:v>
      </x:c>
      <x:c r="W43" s="6" t="n">
        <x:v>5</x:v>
      </x:c>
      <x:c r="X43" s="6" t="str">
        <x:v>P004</x:v>
      </x:c>
      <x:c r="Y43" s="6" t="n">
        <x:v>5</x:v>
      </x:c>
      <x:c r="Z43" s="15" t="str">
        <x:f>IF(AND(N43="Yes",AA43="Both distinct selected papers covered"),SQRT((W43+1)*(Y43+1))*IF(Q43="High",1,0.8),"")</x:f>
      </x:c>
      <x:c r="AA43" s="6" t="str">
        <x:v>Single bridge paper used on both sides</x:v>
      </x:c>
      <x:c r="AB43" s="6" t="str">
        <x:v>2026-09-02</x:v>
      </x:c>
      <x:c r="AC43" s="6" t="str">
        <x:v>U3</x:v>
      </x:c>
      <x:c r="AD43" s="6" t="str">
        <x:v>Representation/reward/value</x:v>
      </x:c>
      <x:c r="AE43" s="6" t="str">
        <x:v>Verified single-paper bridge; not ranked</x:v>
      </x:c>
    </x:row>
    <x:row r="44">
      <x:c r="A44" s="6" t="str">
        <x:f>IF(Z44="","",1+COUNTIF($Z$2:$Z$53,"&gt;"&amp;Z44))</x:f>
      </x:c>
      <x:c r="B44" s="6" t="str">
        <x:v>R005</x:v>
      </x:c>
      <x:c r="C44" s="6" t="str">
        <x:v>Sherry Yang</x:v>
      </x:c>
      <x:c r="D44" s="6" t="str">
        <x:v>US</x:v>
      </x:c>
      <x:c r="E44" s="6" t="str">
        <x:v>Google DeepMind</x:v>
      </x:c>
      <x:c r="F44" s="6" t="str">
        <x:v>G1</x:v>
      </x:c>
      <x:c r="G44" s="6" t="str">
        <x:v>Planning</x:v>
      </x:c>
      <x:c r="H44" s="6" t="str">
        <x:v>Bridger</x:v>
      </x:c>
      <x:c r="I44" s="6" t="n">
        <x:v>3</x:v>
      </x:c>
      <x:c r="J44" s="6" t="n">
        <x:v>1</x:v>
      </x:c>
      <x:c r="K44" s="6" t="n">
        <x:v>3</x:v>
      </x:c>
      <x:c r="L44" s="6" t="str">
        <x:v>Yes</x:v>
      </x:c>
      <x:c r="M44" s="6" t="str">
        <x:v>Yes</x:v>
      </x:c>
      <x:c r="N44" s="6" t="str">
        <x:f>IF(AND(L44="Yes",M44="Yes"),"Yes","No")</x:f>
        <x:v>Yes</x:v>
      </x:c>
      <x:c r="O44" s="6" t="str">
        <x:v>Video generation research</x:v>
      </x:c>
      <x:c r="P44" s="6" t="str">
        <x:v>UniPi</x:v>
      </x:c>
      <x:c r="Q44" s="6" t="str">
        <x:v>High</x:v>
      </x:c>
      <x:c r="R44" s="6" t="str">
        <x:v>Text-guided video generation used as policy/planner</x:v>
      </x:c>
      <x:c r="S44" s="6" t="str">
        <x:v>https://sherryy.github.io/</x:v>
      </x:c>
      <x:c r="T44" s="6" t="str">
        <x:v>https://arxiv.org/abs/2302.00111</x:v>
      </x:c>
      <x:c r="U44" s="6" t="str">
        <x:v>https://research.google/blog/unipi-learning-universal-policies-via-text-guided-video-generation/</x:v>
      </x:c>
      <x:c r="V44" s="6" t="str">
        <x:v>P011</x:v>
      </x:c>
      <x:c r="W44" s="6" t="n">
        <x:v>29</x:v>
      </x:c>
      <x:c r="X44" s="6" t="str">
        <x:v>P011</x:v>
      </x:c>
      <x:c r="Y44" s="6" t="n">
        <x:v>29</x:v>
      </x:c>
      <x:c r="Z44" s="15" t="str">
        <x:f>IF(AND(N44="Yes",AA44="Both distinct selected papers covered"),SQRT((W44+1)*(Y44+1))*IF(Q44="High",1,0.8),"")</x:f>
      </x:c>
      <x:c r="AA44" s="6" t="str">
        <x:v>Single bridge paper used on both sides</x:v>
      </x:c>
      <x:c r="AB44" s="6" t="str">
        <x:v>2026-09-02</x:v>
      </x:c>
      <x:c r="AC44" s="6" t="str">
        <x:v>G1</x:v>
      </x:c>
      <x:c r="AD44" s="6" t="str">
        <x:v>Generated image/video</x:v>
      </x:c>
      <x:c r="AE44" s="6" t="str">
        <x:v>Verified single-paper bridge; not ranked</x:v>
      </x:c>
    </x:row>
    <x:row r="45">
      <x:c r="A45" s="6" t="str">
        <x:f>IF(Z45="","",1+COUNTIF($Z$2:$Z$53,"&gt;"&amp;Z45))</x:f>
      </x:c>
      <x:c r="B45" s="6" t="str">
        <x:v>R031</x:v>
      </x:c>
      <x:c r="C45" s="6" t="str">
        <x:v>Shikhar Bahl</x:v>
      </x:c>
      <x:c r="D45" s="6" t="str">
        <x:v>US</x:v>
      </x:c>
      <x:c r="E45" s="6" t="str">
        <x:v>Carnegie Mellon</x:v>
      </x:c>
      <x:c r="F45" s="6" t="str">
        <x:v>U2</x:v>
      </x:c>
      <x:c r="G45" s="6" t="str">
        <x:v>Direct policy</x:v>
      </x:c>
      <x:c r="H45" s="6" t="str">
        <x:v>Bridger</x:v>
      </x:c>
      <x:c r="I45" s="6" t="n">
        <x:v>1</x:v>
      </x:c>
      <x:c r="J45" s="6" t="n">
        <x:v>3</x:v>
      </x:c>
      <x:c r="K45" s="6" t="n">
        <x:v>3</x:v>
      </x:c>
      <x:c r="L45" s="6" t="str">
        <x:v>Yes</x:v>
      </x:c>
      <x:c r="M45" s="6" t="str">
        <x:v>Yes</x:v>
      </x:c>
      <x:c r="N45" s="6" t="str">
        <x:f>IF(AND(L45="Yes",M45="Yes"),"Yes","No")</x:f>
        <x:v>Yes</x:v>
      </x:c>
      <x:c r="O45" s="6" t="str">
        <x:v>Learning from video / interaction</x:v>
      </x:c>
      <x:c r="P45" s="6" t="str">
        <x:v>WHIRL; robot learning</x:v>
      </x:c>
      <x:c r="Q45" s="6" t="str">
        <x:v>High</x:v>
      </x:c>
      <x:c r="R45" s="6" t="str">
        <x:v>Human-video to robot policy bridge</x:v>
      </x:c>
      <x:c r="S45" s="6" t="str">
        <x:v>https://shikharbahl.github.io/</x:v>
      </x:c>
      <x:c r="T45" s="6" t="str">
        <x:v>https://arxiv.org/abs/2207.09450</x:v>
      </x:c>
      <x:c r="U45" s="6" t="str">
        <x:v>https://arxiv.org/abs/2207.09450</x:v>
      </x:c>
      <x:c r="V45" s="6" t="str">
        <x:v>P036</x:v>
      </x:c>
      <x:c r="W45" s="6" t="n">
        <x:v>83</x:v>
      </x:c>
      <x:c r="X45" s="6" t="str">
        <x:v>P036</x:v>
      </x:c>
      <x:c r="Y45" s="6" t="n">
        <x:v>83</x:v>
      </x:c>
      <x:c r="Z45" s="15" t="str">
        <x:f>IF(AND(N45="Yes",AA45="Both distinct selected papers covered"),SQRT((W45+1)*(Y45+1))*IF(Q45="High",1,0.8),"")</x:f>
      </x:c>
      <x:c r="AA45" s="6" t="str">
        <x:v>Single bridge paper used on both sides</x:v>
      </x:c>
      <x:c r="AB45" s="6" t="str">
        <x:v>2026-09-02</x:v>
      </x:c>
      <x:c r="AC45" s="6" t="str">
        <x:v>U2</x:v>
      </x:c>
      <x:c r="AD45" s="6" t="str">
        <x:v>Action trajectory/tokens</x:v>
      </x:c>
      <x:c r="AE45" s="6" t="str">
        <x:v>Verified single-paper bridge; not ranked</x:v>
      </x:c>
    </x:row>
    <x:row r="46">
      <x:c r="A46" s="6" t="str">
        <x:f>IF(Z46="","",1+COUNTIF($Z$2:$Z$53,"&gt;"&amp;Z46))</x:f>
      </x:c>
      <x:c r="B46" s="6" t="str">
        <x:v>R037</x:v>
      </x:c>
      <x:c r="C46" s="6" t="str">
        <x:v>Suraj Nair</x:v>
      </x:c>
      <x:c r="D46" s="6" t="str">
        <x:v>US</x:v>
      </x:c>
      <x:c r="E46" s="6" t="str">
        <x:v>Stanford</x:v>
      </x:c>
      <x:c r="F46" s="6" t="str">
        <x:v>VL</x:v>
      </x:c>
      <x:c r="G46" s="6" t="str">
        <x:v>Perception backbone</x:v>
      </x:c>
      <x:c r="H46" s="6" t="str">
        <x:v>Bridger</x:v>
      </x:c>
      <x:c r="I46" s="6" t="n">
        <x:v>2</x:v>
      </x:c>
      <x:c r="J46" s="6" t="n">
        <x:v>2</x:v>
      </x:c>
      <x:c r="K46" s="6" t="n">
        <x:v>3</x:v>
      </x:c>
      <x:c r="L46" s="6" t="str">
        <x:v>Emerging</x:v>
      </x:c>
      <x:c r="M46" s="6" t="str">
        <x:v>Yes</x:v>
      </x:c>
      <x:c r="N46" s="6" t="str">
        <x:f>IF(AND(L46="Yes",M46="Yes"),"Yes","No")</x:f>
        <x:v>No</x:v>
      </x:c>
      <x:c r="O46" s="6" t="str">
        <x:v>R3M</x:v>
      </x:c>
      <x:c r="P46" s="6" t="str">
        <x:v>R3M</x:v>
      </x:c>
      <x:c r="Q46" s="6" t="str">
        <x:v>High</x:v>
      </x:c>
      <x:c r="R46" s="6" t="str">
        <x:v>Human-video temporal and language alignment transferred as a frozen robot perception backbone</x:v>
      </x:c>
      <x:c r="S46" s="6" t="str">
        <x:v>https://suraj-nair-1.github.io/</x:v>
      </x:c>
      <x:c r="T46" s="6" t="str">
        <x:v>https://arxiv.org/abs/2203.12601</x:v>
      </x:c>
      <x:c r="U46" s="6" t="str">
        <x:v>https://arxiv.org/abs/2203.12601</x:v>
      </x:c>
      <x:c r="V46" s="6" t="str">
        <x:v>P066</x:v>
      </x:c>
      <x:c r="W46" s="6" t="n">
        <x:v>82</x:v>
      </x:c>
      <x:c r="X46" s="6" t="str">
        <x:v>P066</x:v>
      </x:c>
      <x:c r="Y46" s="6" t="n">
        <x:v>82</x:v>
      </x:c>
      <x:c r="Z46" s="15" t="str">
        <x:f>IF(AND(N46="Yes",AA46="Both distinct selected papers covered"),SQRT((W46+1)*(Y46+1))*IF(Q46="High",1,0.8),"")</x:f>
      </x:c>
      <x:c r="AA46" s="6" t="str">
        <x:v>Single bridge paper used on both sides</x:v>
      </x:c>
      <x:c r="AB46" s="6" t="str">
        <x:v>2026-09-02</x:v>
      </x:c>
      <x:c r="AC46" s="6" t="str">
        <x:v>VL</x:v>
      </x:c>
      <x:c r="AD46" s="6" t="str">
        <x:v>Representation/reward/value</x:v>
      </x:c>
      <x:c r="AE46" s="6" t="str">
        <x:v>Verified single-paper bridge; not ranked</x:v>
      </x:c>
    </x:row>
    <x:row r="47">
      <x:c r="A47" s="6" t="str">
        <x:f>IF(Z47="","",1+COUNTIF($Z$2:$Z$53,"&gt;"&amp;Z47))</x:f>
      </x:c>
      <x:c r="B47" s="6" t="str">
        <x:v>R052</x:v>
      </x:c>
      <x:c r="C47" s="6" t="str">
        <x:v>Tim Brooks</x:v>
      </x:c>
      <x:c r="D47" s="6" t="str">
        <x:v>Europe</x:v>
      </x:c>
      <x:c r="E47" s="6" t="str">
        <x:v>OpenAI → Google DeepMind London</x:v>
      </x:c>
      <x:c r="F47" s="6" t="str">
        <x:v>G1</x:v>
      </x:c>
      <x:c r="G47" s="6" t="str">
        <x:v>World simulation</x:v>
      </x:c>
      <x:c r="H47" s="6" t="str">
        <x:v>Switcher</x:v>
      </x:c>
      <x:c r="I47" s="6" t="n">
        <x:v>3</x:v>
      </x:c>
      <x:c r="J47" s="6" t="n">
        <x:v>1</x:v>
      </x:c>
      <x:c r="K47" s="6" t="n">
        <x:v>2</x:v>
      </x:c>
      <x:c r="L47" s="6" t="str">
        <x:v>Yes</x:v>
      </x:c>
      <x:c r="M47" s="6" t="str">
        <x:v>Emerging</x:v>
      </x:c>
      <x:c r="N47" s="6" t="str">
        <x:f>IF(AND(L47="Yes",M47="Yes"),"Yes","No")</x:f>
        <x:v>No</x:v>
      </x:c>
      <x:c r="O47" s="6" t="str">
        <x:v>Sora / video generation</x:v>
      </x:c>
      <x:c r="P47" s="6" t="str">
        <x:v>Interactive world models</x:v>
      </x:c>
      <x:c r="Q47" s="6" t="str">
        <x:v>Medium</x:v>
      </x:c>
      <x:c r="R47" s="6" t="str">
        <x:v>Clear video→world-model move; physical-robot evidence still limited</x:v>
      </x:c>
      <x:c r="S47" s="6" t="str">
        <x:v>https://scholar.google.com/scholar?q=Tim+Brooks+video+generation</x:v>
      </x:c>
      <x:c r="T47" s="6" t="str">
        <x:v>https://openai.com/index/video-generation-models-as-world-simulators/</x:v>
      </x:c>
      <x:c r="U47" s="6" t="str">
        <x:v>https://deepmind.google/discover/blog/genie-2-a-large-scale-foundation-world-model/</x:v>
      </x:c>
      <x:c r="V47" s="6"/>
      <x:c r="W47" s="6"/>
      <x:c r="X47" s="6"/>
      <x:c r="Y47" s="6"/>
      <x:c r="Z47" s="15" t="str">
        <x:f>IF(AND(N47="Yes",AA47="Both distinct selected papers covered"),SQRT((W47+1)*(Y47+1))*IF(Q47="High",1,0.8),"")</x:f>
      </x:c>
      <x:c r="AA47" s="6" t="str">
        <x:v>Partial / missing selected-paper coverage</x:v>
      </x:c>
      <x:c r="AB47" s="6" t="str">
        <x:v>2026-09-02</x:v>
      </x:c>
      <x:c r="AC47" s="6"/>
      <x:c r="AD47" s="6"/>
      <x:c r="AE47" s="6" t="str">
        <x:v>Partial evidence</x:v>
      </x:c>
    </x:row>
    <x:row r="48">
      <x:c r="A48" s="6" t="str">
        <x:f>IF(Z48="","",1+COUNTIF($Z$2:$Z$53,"&gt;"&amp;Z48))</x:f>
      </x:c>
      <x:c r="B48" s="6" t="str">
        <x:v>R040</x:v>
      </x:c>
      <x:c r="C48" s="6" t="str">
        <x:v>Wenlong Huang</x:v>
      </x:c>
      <x:c r="D48" s="6" t="str">
        <x:v>US</x:v>
      </x:c>
      <x:c r="E48" s="6" t="str">
        <x:v>Stanford</x:v>
      </x:c>
      <x:c r="F48" s="6" t="str">
        <x:v>G1</x:v>
      </x:c>
      <x:c r="G48" s="6" t="str">
        <x:v>Planning</x:v>
      </x:c>
      <x:c r="H48" s="6" t="str">
        <x:v>Bridger</x:v>
      </x:c>
      <x:c r="I48" s="6" t="n">
        <x:v>2</x:v>
      </x:c>
      <x:c r="J48" s="6" t="n">
        <x:v>2</x:v>
      </x:c>
      <x:c r="K48" s="6" t="n">
        <x:v>3</x:v>
      </x:c>
      <x:c r="L48" s="6" t="str">
        <x:v>Emerging</x:v>
      </x:c>
      <x:c r="M48" s="6" t="str">
        <x:v>Yes</x:v>
      </x:c>
      <x:c r="N48" s="6" t="str">
        <x:f>IF(AND(L48="Yes",M48="Yes"),"Yes","No")</x:f>
        <x:v>No</x:v>
      </x:c>
      <x:c r="O48" s="6" t="str">
        <x:v>Generative planning</x:v>
      </x:c>
      <x:c r="P48" s="6" t="str">
        <x:v>Dream2Flow</x:v>
      </x:c>
      <x:c r="Q48" s="6" t="str">
        <x:v>Medium</x:v>
      </x:c>
      <x:c r="R48" s="6" t="str">
        <x:v>Recent bridge; exact citation tracked via project page</x:v>
      </x:c>
      <x:c r="S48" s="6" t="str">
        <x:v>https://wenlong.page/</x:v>
      </x:c>
      <x:c r="T48" s="6" t="str">
        <x:v>https://jiajunwu.com/</x:v>
      </x:c>
      <x:c r="U48" s="6" t="str">
        <x:v>https://jiajunwu.com/</x:v>
      </x:c>
      <x:c r="V48" s="6" t="str">
        <x:v>P026</x:v>
      </x:c>
      <x:c r="W48" s="6" t="n">
        <x:v>0</x:v>
      </x:c>
      <x:c r="X48" s="6" t="str">
        <x:v>P026</x:v>
      </x:c>
      <x:c r="Y48" s="6" t="n">
        <x:v>0</x:v>
      </x:c>
      <x:c r="Z48" s="15" t="str">
        <x:f>IF(AND(N48="Yes",AA48="Both distinct selected papers covered"),SQRT((W48+1)*(Y48+1))*IF(Q48="High",1,0.8),"")</x:f>
      </x:c>
      <x:c r="AA48" s="6" t="str">
        <x:v>Single bridge paper used on both sides</x:v>
      </x:c>
      <x:c r="AB48" s="6" t="str">
        <x:v>2026-09-02</x:v>
      </x:c>
      <x:c r="AC48" s="6" t="str">
        <x:v>G1</x:v>
      </x:c>
      <x:c r="AD48" s="6" t="str">
        <x:v>Generated image/video</x:v>
      </x:c>
      <x:c r="AE48" s="6" t="str">
        <x:v>Verified single-paper bridge; not ranked</x:v>
      </x:c>
    </x:row>
    <x:row r="49">
      <x:c r="A49" s="6" t="str">
        <x:f>IF(Z49="","",1+COUNTIF($Z$2:$Z$53,"&gt;"&amp;Z49))</x:f>
      </x:c>
      <x:c r="B49" s="6" t="str">
        <x:v>R030</x:v>
      </x:c>
      <x:c r="C49" s="6" t="str">
        <x:v>Xiaolong Wang</x:v>
      </x:c>
      <x:c r="D49" s="6" t="str">
        <x:v>US</x:v>
      </x:c>
      <x:c r="E49" s="6" t="str">
        <x:v>UC San Diego</x:v>
      </x:c>
      <x:c r="F49" s="6" t="str">
        <x:v>U2</x:v>
      </x:c>
      <x:c r="G49" s="6" t="str">
        <x:v>Reward / affordance</x:v>
      </x:c>
      <x:c r="H49" s="6" t="str">
        <x:v>Native hybrid</x:v>
      </x:c>
      <x:c r="I49" s="6" t="n">
        <x:v>1</x:v>
      </x:c>
      <x:c r="J49" s="6" t="n">
        <x:v>3</x:v>
      </x:c>
      <x:c r="K49" s="6" t="n">
        <x:v>3</x:v>
      </x:c>
      <x:c r="L49" s="6" t="str">
        <x:v>Yes</x:v>
      </x:c>
      <x:c r="M49" s="6" t="str">
        <x:v>Yes</x:v>
      </x:c>
      <x:c r="N49" s="6" t="str">
        <x:f>IF(AND(L49="Yes",M49="Yes"),"Yes","No")</x:f>
        <x:v>Yes</x:v>
      </x:c>
      <x:c r="O49" s="6" t="str">
        <x:v>Unsupervised video representation</x:v>
      </x:c>
      <x:c r="P49" s="6" t="str">
        <x:v>Robot learning from video</x:v>
      </x:c>
      <x:c r="Q49" s="6" t="str">
        <x:v>High</x:v>
      </x:c>
      <x:c r="R49" s="6" t="str">
        <x:v>Motion/interaction understanding to robotics</x:v>
      </x:c>
      <x:c r="S49" s="6" t="str">
        <x:v>https://xiaolonw.github.io/</x:v>
      </x:c>
      <x:c r="T49" s="6" t="str">
        <x:v>https://arxiv.org/abs/1905.11993</x:v>
      </x:c>
      <x:c r="U49" s="6" t="str">
        <x:v>https://arxiv.org/abs/2204.01691</x:v>
      </x:c>
      <x:c r="V49" s="6"/>
      <x:c r="W49" s="6"/>
      <x:c r="X49" s="6"/>
      <x:c r="Y49" s="6"/>
      <x:c r="Z49" s="15" t="str">
        <x:f>IF(AND(N49="Yes",AA49="Both distinct selected papers covered"),SQRT((W49+1)*(Y49+1))*IF(Q49="High",1,0.8),"")</x:f>
      </x:c>
      <x:c r="AA49" s="6" t="str">
        <x:v>Partial / missing selected-paper coverage</x:v>
      </x:c>
      <x:c r="AB49" s="6" t="str">
        <x:v>2026-09-02</x:v>
      </x:c>
      <x:c r="AC49" s="6"/>
      <x:c r="AD49" s="6"/>
      <x:c r="AE49" s="6" t="str">
        <x:v>Partial evidence</x:v>
      </x:c>
    </x:row>
    <x:row r="50">
      <x:c r="A50" s="6" t="str">
        <x:f>IF(Z50="","",1+COUNTIF($Z$2:$Z$53,"&gt;"&amp;Z50))</x:f>
      </x:c>
      <x:c r="B50" s="6" t="str">
        <x:v>R019</x:v>
      </x:c>
      <x:c r="C50" s="6" t="str">
        <x:v>Xun Huang</x:v>
      </x:c>
      <x:c r="D50" s="6" t="str">
        <x:v>US</x:v>
      </x:c>
      <x:c r="E50" s="6" t="str">
        <x:v>NVIDIA</x:v>
      </x:c>
      <x:c r="F50" s="6" t="str">
        <x:v>G2</x:v>
      </x:c>
      <x:c r="G50" s="6" t="str">
        <x:v>World simulation</x:v>
      </x:c>
      <x:c r="H50" s="6" t="str">
        <x:v>Bridger</x:v>
      </x:c>
      <x:c r="I50" s="6" t="n">
        <x:v>3</x:v>
      </x:c>
      <x:c r="J50" s="6" t="n">
        <x:v>1</x:v>
      </x:c>
      <x:c r="K50" s="6" t="n">
        <x:v>2</x:v>
      </x:c>
      <x:c r="L50" s="6" t="str">
        <x:v>Yes</x:v>
      </x:c>
      <x:c r="M50" s="6" t="str">
        <x:v>Emerging</x:v>
      </x:c>
      <x:c r="N50" s="6" t="str">
        <x:f>IF(AND(L50="Yes",M50="Yes"),"Yes","No")</x:f>
        <x:v>No</x:v>
      </x:c>
      <x:c r="O50" s="6" t="str">
        <x:v>Video/image synthesis</x:v>
      </x:c>
      <x:c r="P50" s="6" t="str">
        <x:v>Cosmos</x:v>
      </x:c>
      <x:c r="Q50" s="6" t="str">
        <x:v>Medium</x:v>
      </x:c>
      <x:c r="R50" s="6" t="str">
        <x:v>Generative backbone to physical-AI world models</x:v>
      </x:c>
      <x:c r="S50" s="6" t="str">
        <x:v>https://xunhuang1995.github.io/</x:v>
      </x:c>
      <x:c r="T50" s="6" t="str">
        <x:v>https://arxiv.org/abs/1808.06601</x:v>
      </x:c>
      <x:c r="U50" s="6" t="str">
        <x:v>https://arxiv.org/abs/2501.03575</x:v>
      </x:c>
      <x:c r="V50" s="6" t="str">
        <x:v>P016</x:v>
      </x:c>
      <x:c r="W50" s="6" t="n">
        <x:v>10</x:v>
      </x:c>
      <x:c r="X50" s="6" t="str">
        <x:v>P016</x:v>
      </x:c>
      <x:c r="Y50" s="6" t="n">
        <x:v>10</x:v>
      </x:c>
      <x:c r="Z50" s="15" t="str">
        <x:f>IF(AND(N50="Yes",AA50="Both distinct selected papers covered"),SQRT((W50+1)*(Y50+1))*IF(Q50="High",1,0.8),"")</x:f>
      </x:c>
      <x:c r="AA50" s="6" t="str">
        <x:v>Single bridge paper used on both sides</x:v>
      </x:c>
      <x:c r="AB50" s="6" t="str">
        <x:v>2026-09-02</x:v>
      </x:c>
      <x:c r="AC50" s="6" t="str">
        <x:v>G2</x:v>
      </x:c>
      <x:c r="AD50" s="6" t="str">
        <x:v>Predicted future video/state</x:v>
      </x:c>
      <x:c r="AE50" s="6" t="str">
        <x:v>Verified single-paper bridge; not ranked</x:v>
      </x:c>
    </x:row>
    <x:row r="51">
      <x:c r="A51" s="6" t="str">
        <x:f>IF(Z51="","",1+COUNTIF($Z$2:$Z$53,"&gt;"&amp;Z51))</x:f>
      </x:c>
      <x:c r="B51" s="6" t="str">
        <x:v>R023</x:v>
      </x:c>
      <x:c r="C51" s="6" t="str">
        <x:v>Yihuai Gao</x:v>
      </x:c>
      <x:c r="D51" s="6" t="str">
        <x:v>US</x:v>
      </x:c>
      <x:c r="E51" s="6" t="str">
        <x:v>NVIDIA</x:v>
      </x:c>
      <x:c r="F51" s="6" t="str">
        <x:v>G2</x:v>
      </x:c>
      <x:c r="G51" s="6" t="str">
        <x:v>World simulation</x:v>
      </x:c>
      <x:c r="H51" s="6" t="str">
        <x:v>Bridger</x:v>
      </x:c>
      <x:c r="I51" s="6" t="n">
        <x:v>2</x:v>
      </x:c>
      <x:c r="J51" s="6" t="n">
        <x:v>1</x:v>
      </x:c>
      <x:c r="K51" s="6" t="n">
        <x:v>2</x:v>
      </x:c>
      <x:c r="L51" s="6" t="str">
        <x:v>Emerging</x:v>
      </x:c>
      <x:c r="M51" s="6" t="str">
        <x:v>Emerging</x:v>
      </x:c>
      <x:c r="N51" s="6" t="str">
        <x:f>IF(AND(L51="Yes",M51="Yes"),"Yes","No")</x:f>
        <x:v>No</x:v>
      </x:c>
      <x:c r="O51" s="6" t="str">
        <x:v>Cosmos</x:v>
      </x:c>
      <x:c r="P51" s="6" t="str">
        <x:v>Cosmos robotics applications</x:v>
      </x:c>
      <x:c r="Q51" s="6" t="str">
        <x:v>Medium</x:v>
      </x:c>
      <x:c r="R51" s="6" t="str">
        <x:v>Recent bridge; impact still maturing</x:v>
      </x:c>
      <x:c r="S51" s="6" t="str">
        <x:v>https://arxiv.org/abs/2501.03575</x:v>
      </x:c>
      <x:c r="T51" s="6" t="str">
        <x:v>https://arxiv.org/abs/2501.03575</x:v>
      </x:c>
      <x:c r="U51" s="6" t="str">
        <x:v>https://arxiv.org/abs/2501.03575</x:v>
      </x:c>
      <x:c r="V51" s="6" t="str">
        <x:v>P016</x:v>
      </x:c>
      <x:c r="W51" s="6" t="n">
        <x:v>10</x:v>
      </x:c>
      <x:c r="X51" s="6" t="str">
        <x:v>P016</x:v>
      </x:c>
      <x:c r="Y51" s="6" t="n">
        <x:v>10</x:v>
      </x:c>
      <x:c r="Z51" s="15" t="str">
        <x:f>IF(AND(N51="Yes",AA51="Both distinct selected papers covered"),SQRT((W51+1)*(Y51+1))*IF(Q51="High",1,0.8),"")</x:f>
      </x:c>
      <x:c r="AA51" s="6" t="str">
        <x:v>Single bridge paper used on both sides</x:v>
      </x:c>
      <x:c r="AB51" s="6" t="str">
        <x:v>2026-09-02</x:v>
      </x:c>
      <x:c r="AC51" s="6" t="str">
        <x:v>G2</x:v>
      </x:c>
      <x:c r="AD51" s="6" t="str">
        <x:v>Predicted future video/state</x:v>
      </x:c>
      <x:c r="AE51" s="6" t="str">
        <x:v>Verified single-paper bridge; not ranked</x:v>
      </x:c>
    </x:row>
    <x:row r="52">
      <x:c r="A52" s="6" t="str">
        <x:f>IF(Z52="","",1+COUNTIF($Z$2:$Z$53,"&gt;"&amp;Z52))</x:f>
      </x:c>
      <x:c r="B52" s="6" t="str">
        <x:v>R056</x:v>
      </x:c>
      <x:c r="C52" s="6" t="str">
        <x:v>Yuke Zhu</x:v>
      </x:c>
      <x:c r="D52" s="6" t="str">
        <x:v>US</x:v>
      </x:c>
      <x:c r="E52" s="6" t="str">
        <x:v>UT Austin / NVIDIA</x:v>
      </x:c>
      <x:c r="F52" s="6" t="str">
        <x:v>VL</x:v>
      </x:c>
      <x:c r="G52" s="6" t="str">
        <x:v>Direct policy</x:v>
      </x:c>
      <x:c r="H52" s="6" t="str">
        <x:v>Native hybrid</x:v>
      </x:c>
      <x:c r="I52" s="6" t="n">
        <x:v>0</x:v>
      </x:c>
      <x:c r="J52" s="6" t="n">
        <x:v>2</x:v>
      </x:c>
      <x:c r="K52" s="6" t="n">
        <x:v>3</x:v>
      </x:c>
      <x:c r="L52" s="6" t="str">
        <x:v>Emerging</x:v>
      </x:c>
      <x:c r="M52" s="6" t="str">
        <x:v>Yes</x:v>
      </x:c>
      <x:c r="N52" s="6" t="str">
        <x:f>IF(AND(L52="Yes",M52="Yes"),"Yes","No")</x:f>
        <x:v>No</x:v>
      </x:c>
      <x:c r="O52" s="6" t="str">
        <x:v>Multimodal representation</x:v>
      </x:c>
      <x:c r="P52" s="6" t="str">
        <x:v>VIMA; robot learning</x:v>
      </x:c>
      <x:c r="Q52" s="6" t="str">
        <x:v>High</x:v>
      </x:c>
      <x:c r="R52" s="6" t="str">
        <x:v>Robotics-led hybrid/control case</x:v>
      </x:c>
      <x:c r="S52" s="6" t="str">
        <x:v>https://www.cs.utexas.edu/~yukez/</x:v>
      </x:c>
      <x:c r="T52" s="6" t="str">
        <x:v>https://openreview.net/forum?id=oU2DzdTI94</x:v>
      </x:c>
      <x:c r="U52" s="6" t="str">
        <x:v>https://openreview.net/forum?id=oU2DzdTI94</x:v>
      </x:c>
      <x:c r="V52" s="6" t="str">
        <x:v>P019</x:v>
      </x:c>
      <x:c r="W52" s="6" t="n">
        <x:v>65</x:v>
      </x:c>
      <x:c r="X52" s="6" t="str">
        <x:v>P019</x:v>
      </x:c>
      <x:c r="Y52" s="6" t="n">
        <x:v>65</x:v>
      </x:c>
      <x:c r="Z52" s="15" t="str">
        <x:f>IF(AND(N52="Yes",AA52="Both distinct selected papers covered"),SQRT((W52+1)*(Y52+1))*IF(Q52="High",1,0.8),"")</x:f>
      </x:c>
      <x:c r="AA52" s="6" t="str">
        <x:v>Single bridge paper used on both sides</x:v>
      </x:c>
      <x:c r="AB52" s="6" t="str">
        <x:v>2026-09-02</x:v>
      </x:c>
      <x:c r="AC52" s="6" t="str">
        <x:v>VL</x:v>
      </x:c>
      <x:c r="AD52" s="6" t="str">
        <x:v>Action trajectory/tokens</x:v>
      </x:c>
      <x:c r="AE52" s="6" t="str">
        <x:v>Verified single-paper bridge; not ranked</x:v>
      </x:c>
    </x:row>
    <x:row r="53">
      <x:c r="A53" s="6" t="str">
        <x:f>IF(Z53="","",1+COUNTIF($Z$2:$Z$53,"&gt;"&amp;Z53))</x:f>
      </x:c>
      <x:c r="B53" s="6" t="str">
        <x:v>R022</x:v>
      </x:c>
      <x:c r="C53" s="6" t="str">
        <x:v>Yunhao Ge</x:v>
      </x:c>
      <x:c r="D53" s="6" t="str">
        <x:v>US</x:v>
      </x:c>
      <x:c r="E53" s="6" t="str">
        <x:v>NVIDIA</x:v>
      </x:c>
      <x:c r="F53" s="6" t="str">
        <x:v>G2</x:v>
      </x:c>
      <x:c r="G53" s="6" t="str">
        <x:v>World simulation</x:v>
      </x:c>
      <x:c r="H53" s="6" t="str">
        <x:v>Bridger</x:v>
      </x:c>
      <x:c r="I53" s="6" t="n">
        <x:v>3</x:v>
      </x:c>
      <x:c r="J53" s="6" t="n">
        <x:v>2</x:v>
      </x:c>
      <x:c r="K53" s="6" t="n">
        <x:v>2</x:v>
      </x:c>
      <x:c r="L53" s="6" t="str">
        <x:v>Yes</x:v>
      </x:c>
      <x:c r="M53" s="6" t="str">
        <x:v>Emerging</x:v>
      </x:c>
      <x:c r="N53" s="6" t="str">
        <x:f>IF(AND(L53="Yes",M53="Yes"),"Yes","No")</x:f>
        <x:v>No</x:v>
      </x:c>
      <x:c r="O53" s="6" t="str">
        <x:v>Generative visual models</x:v>
      </x:c>
      <x:c r="P53" s="6" t="str">
        <x:v>Cosmos</x:v>
      </x:c>
      <x:c r="Q53" s="6" t="str">
        <x:v>Medium</x:v>
      </x:c>
      <x:c r="R53" s="6" t="str">
        <x:v>Physical-AI model development</x:v>
      </x:c>
      <x:c r="S53" s="6" t="str">
        <x:v>https://scholar.google.com/scholar?q=Yunhao+Ge+NVIDIA+Cosmos</x:v>
      </x:c>
      <x:c r="T53" s="6" t="str">
        <x:v>https://arxiv.org/abs/2501.03575</x:v>
      </x:c>
      <x:c r="U53" s="6" t="str">
        <x:v>https://arxiv.org/abs/2501.03575</x:v>
      </x:c>
      <x:c r="V53" s="6" t="str">
        <x:v>P016</x:v>
      </x:c>
      <x:c r="W53" s="6" t="n">
        <x:v>10</x:v>
      </x:c>
      <x:c r="X53" s="6" t="str">
        <x:v>P016</x:v>
      </x:c>
      <x:c r="Y53" s="6" t="n">
        <x:v>10</x:v>
      </x:c>
      <x:c r="Z53" s="15" t="str">
        <x:f>IF(AND(N53="Yes",AA53="Both distinct selected papers covered"),SQRT((W53+1)*(Y53+1))*IF(Q53="High",1,0.8),"")</x:f>
      </x:c>
      <x:c r="AA53" s="6" t="str">
        <x:v>Single bridge paper used on both sides</x:v>
      </x:c>
      <x:c r="AB53" s="6" t="str">
        <x:v>2026-09-02</x:v>
      </x:c>
      <x:c r="AC53" s="6" t="str">
        <x:v>G2</x:v>
      </x:c>
      <x:c r="AD53" s="6" t="str">
        <x:v>Predicted future video/state</x:v>
      </x:c>
      <x:c r="AE53" s="6" t="str">
        <x:v>Verified single-paper bridge; not ranked</x:v>
      </x:c>
    </x:row>
    <x:row r="54">
      <x:c r="A54"/>
      <x:c r="B54"/>
      <x:c r="C54"/>
      <x:c r="D54"/>
      <x:c r="E54"/>
      <x:c r="F54"/>
      <x:c r="G54"/>
      <x:c r="H54"/>
      <x:c r="I54"/>
      <x:c r="J54"/>
      <x:c r="K54"/>
      <x:c r="L54"/>
      <x:c r="M54"/>
      <x:c r="N54"/>
      <x:c r="O54"/>
      <x:c r="P54"/>
      <x:c r="Q54"/>
      <x:c r="R54"/>
      <x:c r="S54"/>
      <x:c r="T54"/>
      <x:c r="U54"/>
      <x:c r="V54"/>
      <x:c r="W54"/>
      <x:c r="X54"/>
      <x:c r="Y54"/>
      <x:c r="Z54"/>
      <x:c r="AA54"/>
      <x:c r="AB54"/>
      <x:c r="AC54"/>
      <x:c r="AD54"/>
      <x:c r="AE54"/>
    </x:row>
    <x:row r="55">
      <x:c r="A55"/>
      <x:c r="B55"/>
      <x:c r="C55"/>
      <x:c r="D55"/>
      <x:c r="E55"/>
      <x:c r="F55"/>
      <x:c r="G55"/>
      <x:c r="H55"/>
      <x:c r="I55"/>
      <x:c r="J55"/>
      <x:c r="K55"/>
      <x:c r="L55"/>
      <x:c r="M55"/>
      <x:c r="N55"/>
      <x:c r="O55"/>
      <x:c r="P55"/>
      <x:c r="Q55"/>
      <x:c r="R55"/>
      <x:c r="S55"/>
      <x:c r="T55"/>
      <x:c r="U55"/>
      <x:c r="V55"/>
      <x:c r="W55"/>
      <x:c r="X55"/>
      <x:c r="Y55"/>
      <x:c r="Z55"/>
      <x:c r="AA55"/>
      <x:c r="AB55"/>
      <x:c r="AC55"/>
      <x:c r="AD55"/>
      <x:c r="AE55"/>
    </x:row>
    <x:row r="56">
      <x:c r="A56"/>
      <x:c r="B56"/>
      <x:c r="C56"/>
      <x:c r="D56"/>
      <x:c r="E56"/>
      <x:c r="F56"/>
      <x:c r="G56"/>
      <x:c r="H56"/>
      <x:c r="I56"/>
      <x:c r="J56"/>
      <x:c r="K56"/>
      <x:c r="L56"/>
      <x:c r="M56"/>
      <x:c r="N56"/>
      <x:c r="O56"/>
      <x:c r="P56"/>
      <x:c r="Q56"/>
      <x:c r="R56"/>
      <x:c r="S56"/>
      <x:c r="T56"/>
      <x:c r="U56"/>
      <x:c r="V56"/>
      <x:c r="W56"/>
      <x:c r="X56"/>
      <x:c r="Y56"/>
      <x:c r="Z56"/>
      <x:c r="AA56"/>
      <x:c r="AB56"/>
      <x:c r="AC56"/>
      <x:c r="AD56"/>
      <x:c r="AE56"/>
    </x:row>
    <x:row r="57">
      <x:c r="A57"/>
      <x:c r="B57"/>
      <x:c r="C57"/>
      <x:c r="D57"/>
      <x:c r="E57"/>
      <x:c r="F57"/>
      <x:c r="G57"/>
      <x:c r="H57"/>
      <x:c r="I57"/>
      <x:c r="J57"/>
      <x:c r="K57"/>
      <x:c r="L57"/>
      <x:c r="M57"/>
      <x:c r="N57"/>
      <x:c r="O57"/>
      <x:c r="P57"/>
      <x:c r="Q57"/>
      <x:c r="R57"/>
      <x:c r="S57"/>
      <x:c r="T57"/>
      <x:c r="U57"/>
      <x:c r="V57"/>
      <x:c r="W57"/>
      <x:c r="X57"/>
      <x:c r="Y57"/>
      <x:c r="Z57"/>
      <x:c r="AA57"/>
      <x:c r="AB57"/>
      <x:c r="AC57"/>
      <x:c r="AD57"/>
      <x:c r="AE57"/>
    </x:row>
    <x:row r="58">
      <x:c r="A58"/>
      <x:c r="B58"/>
      <x:c r="C58"/>
      <x:c r="D58"/>
      <x:c r="E58"/>
      <x:c r="F58"/>
      <x:c r="G58"/>
      <x:c r="H58"/>
      <x:c r="I58"/>
      <x:c r="J58"/>
      <x:c r="K58"/>
      <x:c r="L58"/>
      <x:c r="M58"/>
      <x:c r="N58"/>
      <x:c r="O58"/>
      <x:c r="P58"/>
      <x:c r="Q58"/>
      <x:c r="R58"/>
      <x:c r="S58"/>
      <x:c r="T58"/>
      <x:c r="U58"/>
      <x:c r="V58"/>
      <x:c r="W58"/>
      <x:c r="X58"/>
      <x:c r="Y58"/>
      <x:c r="Z58"/>
      <x:c r="AA58"/>
      <x:c r="AB58"/>
      <x:c r="AC58"/>
      <x:c r="AD58"/>
      <x:c r="AE58"/>
    </x:row>
  </x:sheetData>
  <x:conditionalFormatting sqref="N2:N58">
    <x:cfRule type="containsText" dxfId="1" priority="1" operator="containsText" text="Yes"/>
  </x:conditionalFormatting>
  <x:pageMargins left="0.7" right="0.7" top="0.75" bottom="0.75" header="0.3" footer="0.3"/>
  <x:tableParts count="1">
    <x:tablePart xmlns:r="http://schemas.openxmlformats.org/officeDocument/2006/relationships" r:id="R95436ef363d64c93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0" hidden="0" customWidth="1"/>
    <x:col min="2" max="2" width="22" hidden="0" customWidth="1"/>
    <x:col min="3" max="3" width="22" hidden="0" customWidth="1"/>
    <x:col min="4" max="4" width="22" hidden="0" customWidth="1"/>
    <x:col min="5" max="5" width="22" hidden="0" customWidth="1"/>
    <x:col min="6" max="6" width="22" hidden="0" customWidth="1"/>
    <x:col min="7" max="7" width="22" hidden="0" customWidth="1"/>
    <x:col min="8" max="8" width="22" hidden="0" customWidth="1"/>
  </x:cols>
  <x:sheetData>
    <x:row r="1">
      <x:c r="A1" s="3" t="str">
        <x:v>Researchers: unified video-origin code × primary robot role</x:v>
      </x:c>
      <x:c r="B1" s="3"/>
      <x:c r="C1" s="3"/>
      <x:c r="D1" s="3"/>
      <x:c r="E1" s="3"/>
      <x:c r="F1" s="3"/>
      <x:c r="G1" s="3"/>
      <x:c r="H1"/>
    </x:row>
    <x:row r="2">
      <x:c r="A2"/>
      <x:c r="B2"/>
      <x:c r="C2"/>
      <x:c r="D2"/>
      <x:c r="E2"/>
      <x:c r="F2"/>
      <x:c r="G2"/>
    </x:row>
    <x:row r="3">
      <x:c r="A3"/>
      <x:c r="B3"/>
      <x:c r="C3"/>
      <x:c r="D3"/>
      <x:c r="E3"/>
      <x:c r="F3"/>
      <x:c r="G3"/>
    </x:row>
    <x:row r="4">
      <x:c r="A4" s="11" t="str">
        <x:v>Origin</x:v>
      </x:c>
      <x:c r="B4" s="14" t="str">
        <x:v>Perception backbone</x:v>
      </x:c>
      <x:c r="C4" s="14" t="str">
        <x:v>Reward / affordance</x:v>
      </x:c>
      <x:c r="D4" s="14" t="str">
        <x:v>Data generation</x:v>
      </x:c>
      <x:c r="E4" s="14" t="str">
        <x:v>World simulation</x:v>
      </x:c>
      <x:c r="F4" s="14" t="str">
        <x:v>Planning</x:v>
      </x:c>
      <x:c r="G4" s="14" t="str">
        <x:v>Direct policy</x:v>
      </x:c>
      <x:c r="H4"/>
    </x:row>
    <x:row r="5">
      <x:c r="A5" s="6" t="str">
        <x:v>G1</x:v>
      </x:c>
      <x:c r="B5" s="17" t="n">
        <x:v>0</x:v>
      </x:c>
      <x:c r="C5" s="17" t="n">
        <x:v>0</x:v>
      </x:c>
      <x:c r="D5" s="17" t="n">
        <x:v>0</x:v>
      </x:c>
      <x:c r="E5" s="17" t="n">
        <x:v>3</x:v>
      </x:c>
      <x:c r="F5" s="17" t="n">
        <x:v>6</x:v>
      </x:c>
      <x:c r="G5" s="17" t="n">
        <x:v>4</x:v>
      </x:c>
      <x:c r="H5"/>
    </x:row>
    <x:row r="6">
      <x:c r="A6" s="6" t="str">
        <x:v>G2</x:v>
      </x:c>
      <x:c r="B6" s="17" t="n">
        <x:v>0</x:v>
      </x:c>
      <x:c r="C6" s="17" t="n">
        <x:v>0</x:v>
      </x:c>
      <x:c r="D6" s="17" t="n">
        <x:v>2</x:v>
      </x:c>
      <x:c r="E6" s="17" t="n">
        <x:v>6</x:v>
      </x:c>
      <x:c r="F6" s="17" t="n">
        <x:v>2</x:v>
      </x:c>
      <x:c r="G6" s="17" t="n">
        <x:v>2</x:v>
      </x:c>
      <x:c r="H6"/>
    </x:row>
    <x:row r="7">
      <x:c r="A7" s="6" t="str">
        <x:v>G3</x:v>
      </x:c>
      <x:c r="B7" s="17" t="n">
        <x:v>0</x:v>
      </x:c>
      <x:c r="C7" s="17" t="n">
        <x:v>0</x:v>
      </x:c>
      <x:c r="D7" s="17" t="n">
        <x:v>0</x:v>
      </x:c>
      <x:c r="E7" s="17" t="n">
        <x:v>0</x:v>
      </x:c>
      <x:c r="F7" s="17" t="n">
        <x:v>0</x:v>
      </x:c>
      <x:c r="G7" s="17" t="n">
        <x:v>0</x:v>
      </x:c>
      <x:c r="H7"/>
    </x:row>
    <x:row r="8">
      <x:c r="A8" s="6" t="str">
        <x:v>U1</x:v>
      </x:c>
      <x:c r="B8" s="17" t="n">
        <x:v>1</x:v>
      </x:c>
      <x:c r="C8" s="17" t="n">
        <x:v>0</x:v>
      </x:c>
      <x:c r="D8" s="17" t="n">
        <x:v>0</x:v>
      </x:c>
      <x:c r="E8" s="17" t="n">
        <x:v>0</x:v>
      </x:c>
      <x:c r="F8" s="17" t="n">
        <x:v>0</x:v>
      </x:c>
      <x:c r="G8" s="17" t="n">
        <x:v>0</x:v>
      </x:c>
      <x:c r="H8"/>
    </x:row>
    <x:row r="9">
      <x:c r="A9" s="6" t="str">
        <x:v>U2</x:v>
      </x:c>
      <x:c r="B9" s="17" t="n">
        <x:v>2</x:v>
      </x:c>
      <x:c r="C9" s="17" t="n">
        <x:v>1</x:v>
      </x:c>
      <x:c r="D9" s="17" t="n">
        <x:v>0</x:v>
      </x:c>
      <x:c r="E9" s="17" t="n">
        <x:v>0</x:v>
      </x:c>
      <x:c r="F9" s="17" t="n">
        <x:v>0</x:v>
      </x:c>
      <x:c r="G9" s="17" t="n">
        <x:v>10</x:v>
      </x:c>
      <x:c r="H9"/>
    </x:row>
    <x:row r="10">
      <x:c r="A10" s="6" t="str">
        <x:v>U3</x:v>
      </x:c>
      <x:c r="B10" s="17" t="n">
        <x:v>0</x:v>
      </x:c>
      <x:c r="C10" s="17" t="n">
        <x:v>0</x:v>
      </x:c>
      <x:c r="D10" s="17" t="n">
        <x:v>0</x:v>
      </x:c>
      <x:c r="E10" s="17" t="n">
        <x:v>0</x:v>
      </x:c>
      <x:c r="F10" s="17" t="n">
        <x:v>8</x:v>
      </x:c>
      <x:c r="G10" s="17" t="n">
        <x:v>0</x:v>
      </x:c>
      <x:c r="H10"/>
    </x:row>
    <x:row r="11">
      <x:c r="A11" s="6" t="str">
        <x:v>VL</x:v>
      </x:c>
      <x:c r="B11" s="17" t="n">
        <x:v>1</x:v>
      </x:c>
      <x:c r="C11" s="17" t="n">
        <x:v>1</x:v>
      </x:c>
      <x:c r="D11" s="17" t="n">
        <x:v>0</x:v>
      </x:c>
      <x:c r="E11" s="17" t="n">
        <x:v>0</x:v>
      </x:c>
      <x:c r="F11" s="17" t="n">
        <x:v>0</x:v>
      </x:c>
      <x:c r="G11" s="17" t="n">
        <x:v>3</x:v>
      </x:c>
      <x:c r="H11"/>
    </x:row>
    <x:row r="12">
      <x:c r="A12" s="6"/>
      <x:c r="B12" s="17"/>
      <x:c r="C12" s="17"/>
      <x:c r="D12" s="17"/>
      <x:c r="E12" s="17"/>
      <x:c r="F12" s="17"/>
      <x:c r="G12" s="17"/>
      <x:c r="H12"/>
    </x:row>
    <x:row r="13">
      <x:c r="A13" s="51" t="str">
        <x:v>Direct bridge papers: same video-origin code × robot role</x:v>
      </x:c>
      <x:c r="B13" s="52"/>
      <x:c r="C13" s="52"/>
      <x:c r="D13" s="52"/>
      <x:c r="E13" s="52"/>
      <x:c r="F13" s="52"/>
      <x:c r="G13" s="52"/>
      <x:c r="H13"/>
    </x:row>
    <x:row r="14">
      <x:c r="A14" s="3"/>
      <x:c r="B14" s="19"/>
      <x:c r="C14" s="19"/>
      <x:c r="D14" s="19"/>
      <x:c r="E14" s="19"/>
      <x:c r="F14" s="19"/>
      <x:c r="G14" s="19"/>
      <x:c r="H14"/>
    </x:row>
    <x:row r="15">
      <x:c r="A15" s="53" t="str">
        <x:v>Origin</x:v>
      </x:c>
      <x:c r="B15" s="54" t="str">
        <x:v>Perception backbone</x:v>
      </x:c>
      <x:c r="C15" s="54" t="str">
        <x:v>Reward / affordance</x:v>
      </x:c>
      <x:c r="D15" s="54" t="str">
        <x:v>Data generation</x:v>
      </x:c>
      <x:c r="E15" s="54" t="str">
        <x:v>World simulation</x:v>
      </x:c>
      <x:c r="F15" s="54" t="str">
        <x:v>Planning</x:v>
      </x:c>
      <x:c r="G15" s="54" t="str">
        <x:v>Direct policy</x:v>
      </x:c>
      <x:c r="H15"/>
    </x:row>
    <x:row r="16">
      <x:c r="A16" s="60" t="str">
        <x:v>G1</x:v>
      </x:c>
      <x:c r="B16" s="61" t="n">
        <x:v>0</x:v>
      </x:c>
      <x:c r="C16" s="61" t="n">
        <x:v>0</x:v>
      </x:c>
      <x:c r="D16" s="61" t="n">
        <x:v>1</x:v>
      </x:c>
      <x:c r="E16" s="61" t="n">
        <x:v>0</x:v>
      </x:c>
      <x:c r="F16" s="61" t="n">
        <x:v>2</x:v>
      </x:c>
      <x:c r="G16" s="62" t="n">
        <x:v>1</x:v>
      </x:c>
      <x:c r="H16"/>
    </x:row>
    <x:row r="17">
      <x:c r="A17" s="63" t="str">
        <x:v>G2</x:v>
      </x:c>
      <x:c r="B17" s="64" t="n">
        <x:v>0</x:v>
      </x:c>
      <x:c r="C17" s="64" t="n">
        <x:v>0</x:v>
      </x:c>
      <x:c r="D17" s="64" t="n">
        <x:v>1</x:v>
      </x:c>
      <x:c r="E17" s="64" t="n">
        <x:v>8</x:v>
      </x:c>
      <x:c r="F17" s="64" t="n">
        <x:v>5</x:v>
      </x:c>
      <x:c r="G17" s="64" t="n">
        <x:v>0</x:v>
      </x:c>
      <x:c r="H17"/>
    </x:row>
    <x:row r="18">
      <x:c r="A18" s="63" t="str">
        <x:v>G3</x:v>
      </x:c>
      <x:c r="B18" s="64" t="n">
        <x:v>0</x:v>
      </x:c>
      <x:c r="C18" s="64" t="n">
        <x:v>0</x:v>
      </x:c>
      <x:c r="D18" s="64" t="n">
        <x:v>0</x:v>
      </x:c>
      <x:c r="E18" s="64" t="n">
        <x:v>0</x:v>
      </x:c>
      <x:c r="F18" s="64" t="n">
        <x:v>0</x:v>
      </x:c>
      <x:c r="G18" s="64" t="n">
        <x:v>2</x:v>
      </x:c>
      <x:c r="H18"/>
    </x:row>
    <x:row r="19">
      <x:c r="A19" s="63" t="str">
        <x:v>U1</x:v>
      </x:c>
      <x:c r="B19" s="64" t="n">
        <x:v>0</x:v>
      </x:c>
      <x:c r="C19" s="64" t="n">
        <x:v>0</x:v>
      </x:c>
      <x:c r="D19" s="64" t="n">
        <x:v>0</x:v>
      </x:c>
      <x:c r="E19" s="64" t="n">
        <x:v>0</x:v>
      </x:c>
      <x:c r="F19" s="64" t="n">
        <x:v>0</x:v>
      </x:c>
      <x:c r="G19" s="64" t="n">
        <x:v>0</x:v>
      </x:c>
      <x:c r="H19"/>
    </x:row>
    <x:row r="20">
      <x:c r="A20" s="63" t="str">
        <x:v>U2</x:v>
      </x:c>
      <x:c r="B20" s="64" t="n">
        <x:v>0</x:v>
      </x:c>
      <x:c r="C20" s="64" t="n">
        <x:v>1</x:v>
      </x:c>
      <x:c r="D20" s="64" t="n">
        <x:v>0</x:v>
      </x:c>
      <x:c r="E20" s="64" t="n">
        <x:v>0</x:v>
      </x:c>
      <x:c r="F20" s="64" t="n">
        <x:v>0</x:v>
      </x:c>
      <x:c r="G20" s="64" t="n">
        <x:v>6</x:v>
      </x:c>
      <x:c r="H20"/>
    </x:row>
    <x:row r="21">
      <x:c r="A21" s="63" t="str">
        <x:v>U3</x:v>
      </x:c>
      <x:c r="B21" s="64" t="n">
        <x:v>0</x:v>
      </x:c>
      <x:c r="C21" s="64" t="n">
        <x:v>0</x:v>
      </x:c>
      <x:c r="D21" s="64" t="n">
        <x:v>0</x:v>
      </x:c>
      <x:c r="E21" s="64" t="n">
        <x:v>0</x:v>
      </x:c>
      <x:c r="F21" s="64" t="n">
        <x:v>1</x:v>
      </x:c>
      <x:c r="G21" s="64" t="n">
        <x:v>0</x:v>
      </x:c>
      <x:c r="H21"/>
    </x:row>
    <x:row r="22">
      <x:c r="A22" s="63" t="str">
        <x:v>VL</x:v>
      </x:c>
      <x:c r="B22" s="64" t="n">
        <x:v>1</x:v>
      </x:c>
      <x:c r="C22" s="64" t="n">
        <x:v>1</x:v>
      </x:c>
      <x:c r="D22" s="64" t="n">
        <x:v>0</x:v>
      </x:c>
      <x:c r="E22" s="64" t="n">
        <x:v>0</x:v>
      </x:c>
      <x:c r="F22" s="64" t="n">
        <x:v>0</x:v>
      </x:c>
      <x:c r="G22" s="64" t="n">
        <x:v>1</x:v>
      </x:c>
      <x:c r="H22"/>
    </x:row>
    <x:row r="23">
      <x:c r="A23"/>
      <x:c r="B23"/>
      <x:c r="C23"/>
      <x:c r="D23"/>
      <x:c r="E23"/>
      <x:c r="F23"/>
      <x:c r="G23"/>
      <x:c r="H23"/>
    </x:row>
    <x:row r="24">
      <x:c r="A24"/>
      <x:c r="B24"/>
      <x:c r="C24"/>
      <x:c r="D24"/>
      <x:c r="E24"/>
      <x:c r="F24"/>
      <x:c r="G24"/>
      <x:c r="H24"/>
    </x:row>
    <x:row r="25">
      <x:c r="B25"/>
      <x:c r="C25"/>
      <x:c r="D25"/>
      <x:c r="E25"/>
      <x:c r="F25"/>
      <x:c r="G25"/>
      <x:c r="H25"/>
    </x:row>
    <x:row r="26">
      <x:c r="B26"/>
      <x:c r="C26"/>
      <x:c r="D26"/>
      <x:c r="E26"/>
      <x:c r="F26"/>
      <x:c r="G26"/>
      <x:c r="H26"/>
    </x:row>
    <x:row r="27">
      <x:c r="A27"/>
      <x:c r="B27"/>
      <x:c r="C27"/>
      <x:c r="D27"/>
      <x:c r="E27"/>
      <x:c r="F27"/>
      <x:c r="G27"/>
      <x:c r="H27"/>
    </x:row>
    <x:row r="28">
      <x:c r="B28"/>
      <x:c r="C28"/>
      <x:c r="D28"/>
      <x:c r="E28"/>
      <x:c r="F28"/>
      <x:c r="G28"/>
      <x:c r="H28"/>
    </x:row>
    <x:row r="29">
      <x:c r="A29"/>
      <x:c r="B29"/>
      <x:c r="C29"/>
      <x:c r="D29"/>
      <x:c r="E29"/>
      <x:c r="F29"/>
      <x:c r="G29"/>
      <x:c r="H29"/>
    </x:row>
    <x:row r="30">
      <x:c r="A30"/>
      <x:c r="B30"/>
      <x:c r="C30"/>
      <x:c r="D30"/>
      <x:c r="E30"/>
      <x:c r="F30"/>
      <x:c r="G30"/>
      <x:c r="H30"/>
    </x:row>
    <x:row r="31">
      <x:c r="A31"/>
      <x:c r="B31"/>
      <x:c r="C31"/>
      <x:c r="D31"/>
      <x:c r="E31"/>
      <x:c r="F31"/>
      <x:c r="G31"/>
      <x:c r="H31"/>
    </x:row>
    <x:row r="32">
      <x:c r="A32"/>
      <x:c r="B32"/>
      <x:c r="C32"/>
      <x:c r="D32"/>
      <x:c r="E32"/>
      <x:c r="F32"/>
      <x:c r="G32"/>
      <x:c r="H32"/>
    </x:row>
    <x:row r="33">
      <x:c r="A33"/>
      <x:c r="B33"/>
      <x:c r="C33"/>
      <x:c r="D33"/>
      <x:c r="E33"/>
      <x:c r="F33"/>
      <x:c r="G33"/>
      <x:c r="H33"/>
    </x:row>
    <x:row r="34">
      <x:c r="A34"/>
      <x:c r="B34"/>
      <x:c r="C34"/>
      <x:c r="D34"/>
      <x:c r="E34"/>
      <x:c r="F34"/>
      <x:c r="G34"/>
      <x:c r="H34"/>
    </x:row>
    <x:row r="35">
      <x:c r="A35"/>
      <x:c r="B35"/>
      <x:c r="C35"/>
      <x:c r="D35"/>
      <x:c r="E35"/>
      <x:c r="F35"/>
      <x:c r="G35"/>
      <x:c r="H35"/>
    </x:row>
  </x:sheetData>
  <x:mergeCells>
    <x:mergeCell ref="A1:H1"/>
    <x:mergeCell ref="A14:G14"/>
    <x:mergeCell ref="A27:G27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18" hidden="0" customWidth="1"/>
    <x:col min="3" max="3" width="18" hidden="0" customWidth="1"/>
  </x:cols>
  <x:sheetData>
    <x:row r="1">
      <x:c r="A1" s="3" t="str">
        <x:v>Researcher transition types</x:v>
      </x:c>
      <x:c r="B1" s="3"/>
      <x:c r="C1" s="3"/>
    </x:row>
    <x:row r="2">
      <x:c r="A2"/>
      <x:c r="B2"/>
      <x:c r="C2"/>
    </x:row>
    <x:row r="3">
      <x:c r="A3"/>
      <x:c r="B3"/>
      <x:c r="C3"/>
    </x:row>
    <x:row r="4">
      <x:c r="A4" s="11" t="str">
        <x:v>Transition type</x:v>
      </x:c>
      <x:c r="B4" s="14" t="str">
        <x:v>Researchers</x:v>
      </x:c>
      <x:c r="C4" s="12" t="str">
        <x:v>Share</x:v>
      </x:c>
    </x:row>
    <x:row r="5">
      <x:c r="A5" s="6" t="str">
        <x:v>Switcher</x:v>
      </x:c>
      <x:c r="B5" s="6" t="n">
        <x:v>2</x:v>
      </x:c>
      <x:c r="C5" s="21" t="n">
        <x:f>B5/SUM($B$5:$B$7)</x:f>
        <x:v>0.038461538461538464</x:v>
      </x:c>
    </x:row>
    <x:row r="6">
      <x:c r="A6" s="6" t="str">
        <x:v>Bridger</x:v>
      </x:c>
      <x:c r="B6" s="6" t="n">
        <x:v>39</x:v>
      </x:c>
      <x:c r="C6" s="21" t="n">
        <x:f>B6/SUM($B$5:$B$7)</x:f>
        <x:v>0.75</x:v>
      </x:c>
    </x:row>
    <x:row r="7">
      <x:c r="A7" s="6" t="str">
        <x:v>Native hybrid</x:v>
      </x:c>
      <x:c r="B7" s="6" t="n">
        <x:v>11</x:v>
      </x:c>
      <x:c r="C7" s="21" t="n">
        <x:f>B7/SUM($B$5:$B$7)</x:f>
        <x:v>0.21153846153846154</x:v>
      </x:c>
    </x:row>
    <x:row r="8">
      <x:c r="A8"/>
      <x:c r="B8"/>
      <x:c r="C8"/>
    </x:row>
    <x:row r="9">
      <x:c r="A9"/>
      <x:c r="B9"/>
      <x:c r="C9"/>
    </x:row>
  </x:sheetData>
  <x:mergeCells>
    <x:mergeCell ref="A1:C1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0" hidden="0" customWidth="1"/>
    <x:col min="4" max="4" width="30" hidden="0" customWidth="1"/>
    <x:col min="7" max="7" width="30" hidden="0" customWidth="1"/>
    <x:col min="10" max="10" width="30" hidden="0" customWidth="1"/>
    <x:col min="2" max="2" width="18" hidden="0" customWidth="1"/>
    <x:col min="5" max="5" width="18" hidden="0" customWidth="1"/>
    <x:col min="8" max="8" width="18" hidden="0" customWidth="1"/>
    <x:col min="11" max="11" width="18" hidden="0" customWidth="1"/>
  </x:cols>
  <x:sheetData>
    <x:row r="1">
      <x:c r="A1" s="3" t="str">
        <x:v>Audited Pilot Dashboard — Video → Robotics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</x:row>
    <x:row r="4">
      <x:c r="A4" s="11" t="str">
        <x:v>KPI</x:v>
      </x:c>
      <x:c r="B4" s="12" t="str">
        <x:v>Value</x:v>
      </x:c>
      <x:c r="C4"/>
      <x:c r="D4" s="11" t="str">
        <x:v>Origin code</x:v>
      </x:c>
      <x:c r="E4" s="12" t="str">
        <x:v>Researchers</x:v>
      </x:c>
      <x:c r="F4"/>
      <x:c r="G4" s="11" t="str">
        <x:v>Transition type</x:v>
      </x:c>
      <x:c r="H4" s="12" t="str">
        <x:v>Researchers</x:v>
      </x:c>
      <x:c r="I4"/>
      <x:c r="J4" s="11" t="str">
        <x:v>Direct paper origin</x:v>
      </x:c>
      <x:c r="K4" s="12" t="str">
        <x:v>Papers</x:v>
      </x:c>
    </x:row>
    <x:row r="5">
      <x:c r="A5" s="6" t="str">
        <x:v>Researchers</x:v>
      </x:c>
      <x:c r="B5" s="6" t="n">
        <x:v>52</x:v>
      </x:c>
      <x:c r="C5"/>
      <x:c r="D5" s="6" t="str">
        <x:v>G1</x:v>
      </x:c>
      <x:c r="E5" s="6" t="n">
        <x:v>13</x:v>
      </x:c>
      <x:c r="F5"/>
      <x:c r="G5" s="6" t="str">
        <x:v>Switcher</x:v>
      </x:c>
      <x:c r="H5" s="6" t="n">
        <x:v>2</x:v>
      </x:c>
      <x:c r="I5"/>
      <x:c r="J5" s="6" t="str">
        <x:v>G1</x:v>
      </x:c>
      <x:c r="K5" s="6" t="n">
        <x:v>4</x:v>
      </x:c>
    </x:row>
    <x:row r="6">
      <x:c r="A6" s="6" t="str">
        <x:v>Papers</x:v>
      </x:c>
      <x:c r="B6" s="6" t="n">
        <x:v>66</x:v>
      </x:c>
      <x:c r="C6"/>
      <x:c r="D6" s="6" t="str">
        <x:v>G2</x:v>
      </x:c>
      <x:c r="E6" s="6" t="n">
        <x:v>12</x:v>
      </x:c>
      <x:c r="F6"/>
      <x:c r="G6" s="6" t="str">
        <x:v>Bridger</x:v>
      </x:c>
      <x:c r="H6" s="6" t="n">
        <x:v>39</x:v>
      </x:c>
      <x:c r="I6"/>
      <x:c r="J6" s="6" t="str">
        <x:v>G2</x:v>
      </x:c>
      <x:c r="K6" s="6" t="n">
        <x:v>14</x:v>
      </x:c>
    </x:row>
    <x:row r="7">
      <x:c r="A7" s="6" t="str">
        <x:v>Direct bridge papers</x:v>
      </x:c>
      <x:c r="B7" s="6" t="n">
        <x:v>31</x:v>
      </x:c>
      <x:c r="C7"/>
      <x:c r="D7" s="6" t="str">
        <x:v>G3</x:v>
      </x:c>
      <x:c r="E7" s="6" t="n">
        <x:v>0</x:v>
      </x:c>
      <x:c r="F7"/>
      <x:c r="G7" s="6" t="str">
        <x:v>Native hybrid</x:v>
      </x:c>
      <x:c r="H7" s="6" t="n">
        <x:v>11</x:v>
      </x:c>
      <x:c r="I7"/>
      <x:c r="J7" s="6" t="str">
        <x:v>G3</x:v>
      </x:c>
      <x:c r="K7" s="6" t="n">
        <x:v>2</x:v>
      </x:c>
    </x:row>
    <x:row r="8">
      <x:c r="A8" s="6" t="str">
        <x:v>Adjacent/context papers</x:v>
      </x:c>
      <x:c r="B8" s="6" t="n">
        <x:v>22</x:v>
      </x:c>
      <x:c r="C8"/>
      <x:c r="D8" s="6" t="str">
        <x:v>U1</x:v>
      </x:c>
      <x:c r="E8" s="6" t="n">
        <x:v>1</x:v>
      </x:c>
      <x:c r="F8"/>
      <x:c r="G8" s="6"/>
      <x:c r="H8" s="6"/>
      <x:c r="I8"/>
      <x:c r="J8" s="6" t="str">
        <x:v>U1</x:v>
      </x:c>
      <x:c r="K8" s="6" t="n">
        <x:v>0</x:v>
      </x:c>
    </x:row>
    <x:row r="9">
      <x:c r="A9" s="6" t="str">
        <x:v>One-side references</x:v>
      </x:c>
      <x:c r="B9" s="6" t="n">
        <x:v>13</x:v>
      </x:c>
      <x:c r="C9"/>
      <x:c r="D9" s="6" t="str">
        <x:v>U2</x:v>
      </x:c>
      <x:c r="E9" s="6" t="n">
        <x:v>13</x:v>
      </x:c>
      <x:c r="F9"/>
      <x:c r="G9" s="6"/>
      <x:c r="H9" s="6"/>
      <x:c r="I9"/>
      <x:c r="J9" s="6" t="str">
        <x:v>U2</x:v>
      </x:c>
      <x:c r="K9" s="6" t="n">
        <x:v>7</x:v>
      </x:c>
    </x:row>
    <x:row r="10">
      <x:c r="A10" s="6" t="str">
        <x:v>Ranked with distinct paper pairs</x:v>
      </x:c>
      <x:c r="B10" s="6" t="n">
        <x:v>20</x:v>
      </x:c>
      <x:c r="C10"/>
      <x:c r="D10" s="6" t="str">
        <x:v>U3</x:v>
      </x:c>
      <x:c r="E10" s="6" t="n">
        <x:v>8</x:v>
      </x:c>
      <x:c r="F10"/>
      <x:c r="G10"/>
      <x:c r="H10"/>
      <x:c r="I10"/>
      <x:c r="J10" s="6" t="str">
        <x:v>U3</x:v>
      </x:c>
      <x:c r="K10" s="6" t="n">
        <x:v>1</x:v>
      </x:c>
    </x:row>
    <x:row r="11">
      <x:c r="A11" s="6" t="str">
        <x:v>Single-paper bridges, not ranked</x:v>
      </x:c>
      <x:c r="B11" s="6" t="n">
        <x:v>21</x:v>
      </x:c>
      <x:c r="C11"/>
      <x:c r="D11" s="6" t="str">
        <x:v>VL</x:v>
      </x:c>
      <x:c r="E11" s="6" t="n">
        <x:v>5</x:v>
      </x:c>
      <x:c r="F11"/>
      <x:c r="G11"/>
      <x:c r="H11"/>
      <x:c r="I11"/>
      <x:c r="J11" t="str">
        <x:v>VL</x:v>
      </x:c>
      <x:c r="K11" t="n">
        <x:v>3</x:v>
      </x:c>
    </x:row>
    <x:row r="12">
      <x:c r="A12" s="6" t="str">
        <x:v>Partial evidence rows</x:v>
      </x:c>
      <x:c r="B12" s="6" t="n">
        <x:v>7</x:v>
      </x:c>
      <x:c r="C12"/>
      <x:c r="D12" s="6"/>
      <x:c r="E12" s="6"/>
      <x:c r="F12"/>
      <x:c r="G12"/>
      <x:c r="H12"/>
      <x:c r="I12"/>
      <x:c r="J12"/>
      <x:c r="K12"/>
    </x:row>
    <x:row r="13">
      <x:c r="A13"/>
      <x:c r="B13"/>
      <x:c r="C13"/>
      <x:c r="D13"/>
      <x:c r="E13"/>
      <x:c r="F13"/>
      <x:c r="G13"/>
      <x:c r="H13"/>
      <x:c r="I13"/>
      <x:c r="J13"/>
      <x:c r="K13"/>
    </x:row>
    <x:row r="14">
      <x:c r="A14"/>
      <x:c r="B14"/>
      <x:c r="C14"/>
      <x:c r="D14"/>
      <x:c r="E14"/>
      <x:c r="F14"/>
      <x:c r="G14"/>
      <x:c r="H14"/>
      <x:c r="I14"/>
      <x:c r="J14"/>
      <x:c r="K14"/>
    </x:row>
    <x:row r="15">
      <x:c r="A15" s="30" t="str">
        <x:v>Interpretation notes</x:v>
      </x:c>
      <x:c r="B15" s="31"/>
      <x:c r="C15" s="31"/>
      <x:c r="D15" s="31"/>
      <x:c r="E15" s="31"/>
      <x:c r="F15" s="31"/>
      <x:c r="G15" s="31"/>
      <x:c r="H15" s="31"/>
      <x:c r="I15" s="31"/>
      <x:c r="J15" s="31"/>
      <x:c r="K15" s="32"/>
    </x:row>
    <x:row r="16">
      <x:c r="A16" s="6" t="str">
        <x:v>— One code axis maps video-origin architecture directly to robot role; model output is descriptive metadata, not a second code system.</x:v>
      </x:c>
      <x:c r="B16" s="6"/>
      <x:c r="C16" s="6"/>
      <x:c r="D16" s="6"/>
      <x:c r="E16" s="6"/>
      <x:c r="F16" s="6"/>
      <x:c r="G16" s="6"/>
      <x:c r="H16" s="6"/>
      <x:c r="I16" s="6"/>
      <x:c r="J16" s="6"/>
      <x:c r="K16" s="6"/>
    </x:row>
    <x:row r="17">
      <x:c r="A17" s="6" t="str">
        <x:v>— G1 researchers map mainly to planning (6), direct policy (4), and world simulation (3).</x:v>
      </x:c>
      <x:c r="B17" s="6"/>
      <x:c r="C17" s="6"/>
      <x:c r="D17" s="6"/>
      <x:c r="E17" s="6"/>
      <x:c r="F17" s="6"/>
      <x:c r="G17" s="6"/>
      <x:c r="H17" s="6"/>
      <x:c r="I17" s="6"/>
      <x:c r="J17" s="6"/>
      <x:c r="K17" s="6"/>
    </x:row>
    <x:row r="18">
      <x:c r="A18" s="6" t="str">
        <x:v>— Bridge Impact requires two distinct authored papers; single-paper bridges remain documented but are not ranked.</x:v>
      </x:c>
      <x:c r="B18" s="6"/>
      <x:c r="C18" s="6"/>
      <x:c r="D18" s="6"/>
      <x:c r="E18" s="6"/>
      <x:c r="F18" s="6"/>
      <x:c r="G18" s="6"/>
      <x:c r="H18" s="6"/>
      <x:c r="I18" s="6"/>
      <x:c r="J18" s="6"/>
      <x:c r="K18" s="6"/>
    </x:row>
    <x:row r="19">
      <x:c r="A19" s="6" t="str">
        <x:v>— Four robotics-centered comparison cases were removed so the researcher denominator contains only verified video-to-robotics trajectories.</x:v>
      </x:c>
      <x:c r="B19" s="6"/>
      <x:c r="C19" s="6"/>
      <x:c r="D19" s="6"/>
      <x:c r="E19" s="6"/>
      <x:c r="F19" s="6"/>
      <x:c r="G19" s="6"/>
      <x:c r="H19" s="6"/>
      <x:c r="I19" s="6"/>
      <x:c r="J19" s="6"/>
      <x:c r="K19" s="6"/>
    </x:row>
    <x:row r="20">
      <x:c r="A20" s="6" t="str">
        <x:v>— Counts describe this selected sample, not the full research population.</x:v>
      </x:c>
      <x:c r="B20" s="6"/>
      <x:c r="C20" s="6"/>
      <x:c r="D20" s="6"/>
      <x:c r="E20" s="6"/>
      <x:c r="F20" s="6"/>
      <x:c r="G20" s="6"/>
      <x:c r="H20" s="6"/>
      <x:c r="I20" s="6"/>
      <x:c r="J20" s="6"/>
      <x:c r="K20" s="6"/>
    </x:row>
  </x:sheetData>
  <x:mergeCells>
    <x:mergeCell ref="A1:K1"/>
    <x:mergeCell ref="A15:K15"/>
    <x:mergeCell ref="A16:K16"/>
    <x:mergeCell ref="A17:K17"/>
    <x:mergeCell ref="A18:K18"/>
    <x:mergeCell ref="A19:K19"/>
    <x:mergeCell ref="A20:K20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2" hidden="0" customWidth="1"/>
    <x:col min="2" max="2" width="35" hidden="0" customWidth="1"/>
    <x:col min="3" max="3" width="35" hidden="0" customWidth="1"/>
    <x:col min="4" max="4" width="95" hidden="0" customWidth="1"/>
  </x:cols>
  <x:sheetData>
    <x:row r="1">
      <x:c r="A1" s="3" t="str">
        <x:v>Audit corrections applied</x:v>
      </x:c>
      <x:c r="B1" s="3"/>
      <x:c r="C1" s="3"/>
      <x:c r="D1" s="3"/>
    </x:row>
    <x:row r="4">
      <x:c r="A4" s="11" t="str">
        <x:v>Target</x:v>
      </x:c>
      <x:c r="B4" s="14" t="str">
        <x:v>Previous</x:v>
      </x:c>
      <x:c r="C4" s="14" t="str">
        <x:v>Corrected</x:v>
      </x:c>
      <x:c r="D4" s="12" t="str">
        <x:v>Reason</x:v>
      </x:c>
    </x:row>
    <x:row r="5">
      <x:c r="A5" s="6" t="str">
        <x:v>Dream2Flow</x:v>
      </x:c>
      <x:c r="B5" s="6" t="str">
        <x:v>G2</x:v>
      </x:c>
      <x:c r="C5" s="6" t="str">
        <x:v>G1</x:v>
      </x:c>
      <x:c r="D5" s="6" t="str">
        <x:v>Video is generated without robot action as a model input; generated motion is converted to 3D flow and commands</x:v>
      </x:c>
    </x:row>
    <x:row r="6">
      <x:c r="A6" s="6" t="str">
        <x:v>PointWorld</x:v>
      </x:c>
      <x:c r="B6" s="6" t="str">
        <x:v>U2</x:v>
      </x:c>
      <x:c r="C6" s="6" t="str">
        <x:v>G2</x:v>
      </x:c>
      <x:c r="D6" s="6" t="str">
        <x:v>Robot action conditions prediction; future 3D point flow is the output</x:v>
      </x:c>
    </x:row>
    <x:row r="7">
      <x:c r="A7" s="6" t="str">
        <x:v>CALVIN</x:v>
      </x:c>
      <x:c r="B7" s="6" t="str">
        <x:v>VL model</x:v>
      </x:c>
      <x:c r="C7" s="6" t="str">
        <x:v>Benchmark</x:v>
      </x:c>
      <x:c r="D7" s="6" t="str">
        <x:v>The paper introduces a benchmark/dataset rather than a model architecture</x:v>
      </x:c>
    </x:row>
    <x:row r="8">
      <x:c r="A8" s="6" t="str">
        <x:v>RoboCat</x:v>
      </x:c>
      <x:c r="B8" s="6" t="str">
        <x:v>Direct bridge Yes</x:v>
      </x:c>
      <x:c r="C8" s="6" t="str">
        <x:v>Adjacent</x:v>
      </x:c>
      <x:c r="D8" s="6" t="str">
        <x:v>Robotics paper without a direct video-model transfer</x:v>
      </x:c>
    </x:row>
    <x:row r="9">
      <x:c r="A9" s="6" t="str">
        <x:v>Gemini Robotics 1.5</x:v>
      </x:c>
      <x:c r="B9" s="6" t="str">
        <x:v>Direct bridge Yes / VL</x:v>
      </x:c>
      <x:c r="C9" s="6" t="str">
        <x:v>Adjacent / None + A</x:v>
      </x:c>
      <x:c r="D9" s="6" t="str">
        <x:v>VLA action policy; no verified video-specific transfer in the paper-level count</x:v>
      </x:c>
    </x:row>
    <x:row r="10">
      <x:c r="A10" s="6" t="str">
        <x:v>Representative-paper scoring</x:v>
      </x:c>
      <x:c r="B10" s="6" t="str">
        <x:v>Same paper could fill both sides</x:v>
      </x:c>
      <x:c r="C10" s="6" t="str">
        <x:v>Distinct papers required</x:v>
      </x:c>
      <x:c r="D10" s="6" t="str">
        <x:v>Prevents one bridge paper from being counted twice in the geometric mean</x:v>
      </x:c>
    </x:row>
    <x:row r="11">
      <x:c r="A11" s="6" t="str">
        <x:v>Researcher evidence</x:v>
      </x:c>
      <x:c r="B11" s="6" t="str">
        <x:v>Several non-author paper links</x:v>
      </x:c>
      <x:c r="C11" s="6" t="str">
        <x:v>Verified authored papers or Partial</x:v>
      </x:c>
      <x:c r="D11" s="6" t="str">
        <x:v>Chelsea Finn, Sergey Levine, João Carreira, Carl Doersch, Suraj Nair, Tim Rocktäschel, Thomas Brox, Frederik Ebert, and others corrected</x:v>
      </x:c>
    </x:row>
    <x:row r="12">
      <x:c r="A12" s="6" t="str">
        <x:v>Tim Rocktäschel</x:v>
      </x:c>
      <x:c r="B12" s="6" t="str">
        <x:v>Video-first comparison inside researcher sample</x:v>
      </x:c>
      <x:c r="C12" s="6" t="str">
        <x:v>Excluded from researcher sample; Genie retained as context</x:v>
      </x:c>
      <x:c r="D12" s="6" t="str">
        <x:v>No physical-robot paper was verified; virtual world-model and agent work alone does not meet the researcher inclusion rule</x:v>
      </x:c>
    </x:row>
    <x:row r="13">
      <x:c r="A13" t="str">
        <x:v>Kevin Black, Oier Mees, Pierre-Louis Guhur, Yunfan Jiang</x:v>
      </x:c>
      <x:c r="B13" t="str">
        <x:v>Robotics-centered comparison cases inside core researcher sample</x:v>
      </x:c>
      <x:c r="C13" t="str">
        <x:v>Excluded from core researcher sample; no empty-origin category retained</x:v>
      </x:c>
      <x:c r="D13" t="str">
        <x:v>The published researcher denominator now contains only verified video-to-robotics trajectories. These four cases did not affect the ranked top 20.</x:v>
      </x:c>
    </x:row>
  </x:sheetData>
  <x:mergeCells>
    <x:mergeCell ref="A1:D1"/>
  </x:mergeCells>
  <x:pageMargins left="0.7" right="0.7" top="0.75" bottom="0.75" header="0.3" footer="0.3"/>
</x:worksheet>
</file>